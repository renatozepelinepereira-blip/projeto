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Eskimo\Desktop\"/>
    </mc:Choice>
  </mc:AlternateContent>
  <xr:revisionPtr revIDLastSave="0" documentId="13_ncr:1_{A6837585-9548-4501-96F6-BA22D988D2E6}" xr6:coauthVersionLast="47" xr6:coauthVersionMax="47" xr10:uidLastSave="{00000000-0000-0000-0000-000000000000}"/>
  <bookViews>
    <workbookView xWindow="-20610" yWindow="780" windowWidth="20730" windowHeight="11160" tabRatio="772" xr2:uid="{00000000-000D-0000-FFFF-FFFF00000000}"/>
  </bookViews>
  <sheets>
    <sheet name="FATURAMENTO - PROD" sheetId="18" r:id="rId1"/>
    <sheet name="FATURAMENTO - SECO" sheetId="21" r:id="rId2"/>
    <sheet name="ROMANEIO" sheetId="1" r:id="rId3"/>
  </sheets>
  <definedNames>
    <definedName name="_xlnm.Print_Area" localSheetId="0">'FATURAMENTO - PROD'!$E$11</definedName>
    <definedName name="_xlnm.Print_Area" localSheetId="1">'FATURAMENTO - SECO'!$E$11</definedName>
    <definedName name="_xlnm.Print_Area" localSheetId="2">ROMANEIO!$C$2:$L$75</definedName>
  </definedNames>
  <calcPr calcId="191029"/>
  <extLst>
    <ext xmlns:x14="http://schemas.microsoft.com/office/spreadsheetml/2009/9/main" uri="{79F54976-1DA5-4618-B147-4CDE4B953A38}">
      <x14:workbookPr defaultImageDpi="330"/>
    </ext>
  </extLst>
</workbook>
</file>

<file path=xl/calcChain.xml><?xml version="1.0" encoding="utf-8"?>
<calcChain xmlns="http://schemas.openxmlformats.org/spreadsheetml/2006/main">
  <c r="D7" i="18" l="1"/>
  <c r="I63" i="18" l="1" a="1"/>
  <c r="I13" i="18" l="1" a="1"/>
  <c r="I13" i="18" s="1"/>
  <c r="I21" i="18" a="1"/>
  <c r="I21" i="18" s="1"/>
  <c r="I29" i="18" a="1"/>
  <c r="I29" i="18" s="1"/>
  <c r="I37" i="18" a="1"/>
  <c r="I37" i="18" s="1"/>
  <c r="I49" i="18" a="1"/>
  <c r="I49" i="18" s="1"/>
  <c r="I14" i="18" a="1"/>
  <c r="I14" i="18" s="1"/>
  <c r="I30" i="18" a="1"/>
  <c r="I30" i="18" s="1"/>
  <c r="I46" i="18" a="1"/>
  <c r="I46" i="18" s="1"/>
  <c r="I62" i="18" a="1"/>
  <c r="I62" i="18" s="1"/>
  <c r="I47" i="18" a="1"/>
  <c r="I47" i="18" s="1"/>
  <c r="I71" i="18" a="1"/>
  <c r="I71" i="18" s="1"/>
  <c r="I24" i="18" a="1"/>
  <c r="I24" i="18" s="1"/>
  <c r="I40" i="18" a="1"/>
  <c r="I40" i="18" s="1"/>
  <c r="I56" i="18" a="1"/>
  <c r="I56" i="18" s="1"/>
  <c r="I45" i="18" a="1"/>
  <c r="I45" i="18" s="1"/>
  <c r="I69" i="18" a="1"/>
  <c r="I69" i="18" s="1"/>
  <c r="I15" i="18" a="1"/>
  <c r="I15" i="18" s="1"/>
  <c r="I23" i="18" a="1"/>
  <c r="I23" i="18" s="1"/>
  <c r="I31" i="18" a="1"/>
  <c r="I31" i="18" s="1"/>
  <c r="I39" i="18" a="1"/>
  <c r="I39" i="18" s="1"/>
  <c r="I55" i="18" a="1"/>
  <c r="I55" i="18" s="1"/>
  <c r="I18" i="18" a="1"/>
  <c r="I18" i="18" s="1"/>
  <c r="I34" i="18" a="1"/>
  <c r="I34" i="18" s="1"/>
  <c r="I50" i="18" a="1"/>
  <c r="I50" i="18" s="1"/>
  <c r="I66" i="18" a="1"/>
  <c r="I66" i="18" s="1"/>
  <c r="I53" i="18" a="1"/>
  <c r="I53" i="18" s="1"/>
  <c r="I12" i="18" a="1"/>
  <c r="I12" i="18" s="1"/>
  <c r="I28" i="18" a="1"/>
  <c r="I28" i="18" s="1"/>
  <c r="I44" i="18" a="1"/>
  <c r="I44" i="18" s="1"/>
  <c r="I60" i="18" a="1"/>
  <c r="I60" i="18" s="1"/>
  <c r="I51" i="18" a="1"/>
  <c r="I51" i="18" s="1"/>
  <c r="H10" i="18" a="1"/>
  <c r="H18" i="18" s="1"/>
  <c r="I17" i="18" a="1"/>
  <c r="I17" i="18" s="1"/>
  <c r="I25" i="18" a="1"/>
  <c r="I25" i="18" s="1"/>
  <c r="I33" i="18" a="1"/>
  <c r="I33" i="18" s="1"/>
  <c r="I41" i="18" a="1"/>
  <c r="I41" i="18" s="1"/>
  <c r="I61" i="18" a="1"/>
  <c r="I61" i="18" s="1"/>
  <c r="I22" i="18" a="1"/>
  <c r="I22" i="18" s="1"/>
  <c r="I38" i="18" a="1"/>
  <c r="I38" i="18" s="1"/>
  <c r="I54" i="18" a="1"/>
  <c r="I54" i="18" s="1"/>
  <c r="I70" i="18" a="1"/>
  <c r="I70" i="18" s="1"/>
  <c r="I59" i="18" a="1"/>
  <c r="I59" i="18" s="1"/>
  <c r="I16" i="18" a="1"/>
  <c r="I16" i="18" s="1"/>
  <c r="I32" i="18" a="1"/>
  <c r="I32" i="18" s="1"/>
  <c r="I48" i="18" a="1"/>
  <c r="I48" i="18" s="1"/>
  <c r="I64" i="18" a="1"/>
  <c r="I64" i="18" s="1"/>
  <c r="I57" i="18" a="1"/>
  <c r="I57" i="18" s="1"/>
  <c r="I11" i="18" a="1"/>
  <c r="I11" i="18" s="1"/>
  <c r="I19" i="18" a="1"/>
  <c r="I19" i="18" s="1"/>
  <c r="I27" i="18" a="1"/>
  <c r="I27" i="18" s="1"/>
  <c r="I35" i="18" a="1"/>
  <c r="I35" i="18" s="1"/>
  <c r="I43" i="18" a="1"/>
  <c r="I43" i="18" s="1"/>
  <c r="I67" i="18" a="1"/>
  <c r="I67" i="18" s="1"/>
  <c r="I26" i="18" a="1"/>
  <c r="I26" i="18" s="1"/>
  <c r="I42" i="18" a="1"/>
  <c r="I42" i="18" s="1"/>
  <c r="I58" i="18" a="1"/>
  <c r="I58" i="18" s="1"/>
  <c r="I72" i="18" a="1"/>
  <c r="I72" i="18" s="1"/>
  <c r="I65" i="18" a="1"/>
  <c r="I65" i="18" s="1"/>
  <c r="I20" i="18" a="1"/>
  <c r="I20" i="18" s="1"/>
  <c r="I36" i="18" a="1"/>
  <c r="I36" i="18" s="1"/>
  <c r="I52" i="18" a="1"/>
  <c r="I52" i="18" s="1"/>
  <c r="I68" i="18" a="1"/>
  <c r="I68" i="18" s="1"/>
  <c r="I63" i="18"/>
  <c r="I10" i="18" a="1"/>
  <c r="H31" i="18" l="1"/>
  <c r="H42" i="18"/>
  <c r="H70" i="18"/>
  <c r="H68" i="18"/>
  <c r="H45" i="18"/>
  <c r="H73" i="18"/>
  <c r="H65" i="18"/>
  <c r="H67" i="18"/>
  <c r="H44" i="18"/>
  <c r="H72" i="18"/>
  <c r="H47" i="18"/>
  <c r="H66" i="18"/>
  <c r="H33" i="18"/>
  <c r="H43" i="18"/>
  <c r="H71" i="18"/>
  <c r="H69" i="18"/>
  <c r="H62" i="18"/>
  <c r="H28" i="18"/>
  <c r="H26" i="18"/>
  <c r="H56" i="18"/>
  <c r="H54" i="18"/>
  <c r="H15" i="18"/>
  <c r="H52" i="18"/>
  <c r="H51" i="18"/>
  <c r="H32" i="18"/>
  <c r="H30" i="18"/>
  <c r="H13" i="18"/>
  <c r="H12" i="18"/>
  <c r="H11" i="18"/>
  <c r="H10" i="18"/>
  <c r="H41" i="18"/>
  <c r="H40" i="18"/>
  <c r="H39" i="18"/>
  <c r="H38" i="18"/>
  <c r="H48" i="18"/>
  <c r="H46" i="18"/>
  <c r="H37" i="18"/>
  <c r="H36" i="18"/>
  <c r="H35" i="18"/>
  <c r="H34" i="18"/>
  <c r="H64" i="18"/>
  <c r="H29" i="18"/>
  <c r="H27" i="18"/>
  <c r="H57" i="18"/>
  <c r="H55" i="18"/>
  <c r="H17" i="18"/>
  <c r="H53" i="18"/>
  <c r="H50" i="18"/>
  <c r="H63" i="18"/>
  <c r="H61" i="18"/>
  <c r="H60" i="18"/>
  <c r="H59" i="18"/>
  <c r="H58" i="18"/>
  <c r="H49" i="18"/>
  <c r="H25" i="18"/>
  <c r="H24" i="18"/>
  <c r="H23" i="18"/>
  <c r="H22" i="18"/>
  <c r="H16" i="18"/>
  <c r="H14" i="18"/>
  <c r="H21" i="18"/>
  <c r="H20" i="18"/>
  <c r="H19" i="18"/>
  <c r="I10" i="18"/>
  <c r="I74" i="18" a="1"/>
  <c r="I73" i="18" a="1"/>
  <c r="I75" i="18" a="1"/>
  <c r="K72" i="18" l="1" a="1"/>
  <c r="K72" i="18" s="1"/>
  <c r="J71" i="18" a="1"/>
  <c r="J71" i="18" s="1"/>
  <c r="K70" i="18" a="1"/>
  <c r="K70" i="18" s="1"/>
  <c r="K69" i="18" a="1"/>
  <c r="K69" i="18" s="1"/>
  <c r="J69" i="18" a="1"/>
  <c r="J69" i="18" s="1"/>
  <c r="J70" i="18" a="1"/>
  <c r="J70" i="18" s="1"/>
  <c r="J72" i="18" a="1"/>
  <c r="J72" i="18" s="1"/>
  <c r="I73" i="18"/>
  <c r="I74" i="18"/>
  <c r="I75" i="18"/>
  <c r="J75" i="18" a="1"/>
  <c r="J75" i="18" s="1"/>
  <c r="K74" i="18" a="1"/>
  <c r="K74" i="18" s="1"/>
  <c r="K71" i="18" l="1" a="1"/>
  <c r="K71" i="18" s="1"/>
  <c r="K75" i="18" a="1"/>
  <c r="K75" i="18" s="1"/>
  <c r="J74" i="18" a="1"/>
  <c r="J74" i="18" s="1"/>
  <c r="K49" i="18" a="1"/>
  <c r="K49" i="18" s="1"/>
  <c r="J49" i="18" a="1"/>
  <c r="J49" i="18" s="1"/>
  <c r="J30" i="18" a="1"/>
  <c r="J30" i="18" s="1"/>
  <c r="K30" i="18" a="1"/>
  <c r="K30" i="18" s="1"/>
  <c r="J45" i="18" a="1"/>
  <c r="J45" i="18" s="1"/>
  <c r="K45" i="18" a="1"/>
  <c r="K45" i="18" s="1"/>
  <c r="J53" i="18" a="1"/>
  <c r="J53" i="18" s="1"/>
  <c r="K53" i="18" a="1"/>
  <c r="K53" i="18" s="1"/>
  <c r="J14" i="18" a="1"/>
  <c r="J14" i="18" s="1"/>
  <c r="K14" i="18" a="1"/>
  <c r="K14" i="18" s="1"/>
  <c r="J60" i="18" a="1"/>
  <c r="J60" i="18" s="1"/>
  <c r="K60" i="18" a="1"/>
  <c r="K60" i="18" s="1"/>
  <c r="K33" i="18" a="1"/>
  <c r="K33" i="18" s="1"/>
  <c r="J33" i="18" a="1"/>
  <c r="J33" i="18" s="1"/>
  <c r="K26" i="18" a="1"/>
  <c r="K26" i="18" s="1"/>
  <c r="J26" i="18" a="1"/>
  <c r="J26" i="18" s="1"/>
  <c r="K59" i="18" a="1"/>
  <c r="K59" i="18" s="1"/>
  <c r="J59" i="18" a="1"/>
  <c r="J59" i="18" s="1"/>
  <c r="J29" i="18" a="1"/>
  <c r="J29" i="18" s="1"/>
  <c r="K29" i="18" a="1"/>
  <c r="K29" i="18" s="1"/>
  <c r="J20" i="18" a="1"/>
  <c r="J20" i="18" s="1"/>
  <c r="K20" i="18" a="1"/>
  <c r="K20" i="18" s="1"/>
  <c r="J66" i="18" a="1"/>
  <c r="J66" i="18" s="1"/>
  <c r="K66" i="18" a="1"/>
  <c r="K66" i="18" s="1"/>
  <c r="J38" i="18" a="1"/>
  <c r="J38" i="18" s="1"/>
  <c r="K38" i="18" a="1"/>
  <c r="K38" i="18" s="1"/>
  <c r="J37" i="18" a="1"/>
  <c r="J37" i="18" s="1"/>
  <c r="K37" i="18" a="1"/>
  <c r="K37" i="18" s="1"/>
  <c r="K10" i="18" a="1"/>
  <c r="K10" i="18" s="1"/>
  <c r="J10" i="18" a="1"/>
  <c r="J10" i="18" s="1"/>
  <c r="K55" i="18" a="1"/>
  <c r="K55" i="18" s="1"/>
  <c r="J55" i="18" a="1"/>
  <c r="J55" i="18" s="1"/>
  <c r="J22" i="18" a="1"/>
  <c r="J22" i="18" s="1"/>
  <c r="K22" i="18" a="1"/>
  <c r="K22" i="18" s="1"/>
  <c r="K25" i="18" a="1"/>
  <c r="K25" i="18" s="1"/>
  <c r="J25" i="18" a="1"/>
  <c r="J25" i="18" s="1"/>
  <c r="J62" i="18" a="1"/>
  <c r="J62" i="18" s="1"/>
  <c r="K62" i="18" a="1"/>
  <c r="K62" i="18" s="1"/>
  <c r="K39" i="18" a="1"/>
  <c r="K39" i="18" s="1"/>
  <c r="J39" i="18" a="1"/>
  <c r="J39" i="18" s="1"/>
  <c r="J16" i="18" a="1"/>
  <c r="J16" i="18" s="1"/>
  <c r="K16" i="18" a="1"/>
  <c r="K16" i="18" s="1"/>
  <c r="K17" i="18" a="1"/>
  <c r="K17" i="18" s="1"/>
  <c r="J17" i="18" a="1"/>
  <c r="J17" i="18" s="1"/>
  <c r="J50" i="18" a="1"/>
  <c r="J50" i="18" s="1"/>
  <c r="K50" i="18" a="1"/>
  <c r="K50" i="18" s="1"/>
  <c r="K54" i="18" a="1"/>
  <c r="K54" i="18" s="1"/>
  <c r="J54" i="18" a="1"/>
  <c r="J54" i="18" s="1"/>
  <c r="K13" i="18" a="1"/>
  <c r="K13" i="18" s="1"/>
  <c r="J13" i="18" a="1"/>
  <c r="J13" i="18" s="1"/>
  <c r="J67" i="18" a="1"/>
  <c r="J67" i="18" s="1"/>
  <c r="K67" i="18" a="1"/>
  <c r="K67" i="18" s="1"/>
  <c r="K44" i="18" a="1"/>
  <c r="K44" i="18" s="1"/>
  <c r="J44" i="18" a="1"/>
  <c r="J44" i="18" s="1"/>
  <c r="J11" i="18" a="1"/>
  <c r="J11" i="18" s="1"/>
  <c r="K11" i="18" a="1"/>
  <c r="K11" i="18" s="1"/>
  <c r="K21" i="18" a="1"/>
  <c r="K21" i="18" s="1"/>
  <c r="J21" i="18" a="1"/>
  <c r="J21" i="18" s="1"/>
  <c r="J56" i="18" a="1"/>
  <c r="J56" i="18" s="1"/>
  <c r="K56" i="18" a="1"/>
  <c r="K56" i="18" s="1"/>
  <c r="K34" i="18" a="1"/>
  <c r="K34" i="18" s="1"/>
  <c r="J34" i="18" a="1"/>
  <c r="J34" i="18" s="1"/>
  <c r="J32" i="18" a="1"/>
  <c r="J32" i="18" s="1"/>
  <c r="K32" i="18" a="1"/>
  <c r="K32" i="18" s="1"/>
  <c r="J58" i="18" a="1"/>
  <c r="J58" i="18" s="1"/>
  <c r="K58" i="18" a="1"/>
  <c r="K58" i="18" s="1"/>
  <c r="J40" i="18" a="1"/>
  <c r="J40" i="18" s="1"/>
  <c r="K40" i="18" a="1"/>
  <c r="K40" i="18" s="1"/>
  <c r="K73" i="18" a="1"/>
  <c r="K73" i="18" s="1"/>
  <c r="J73" i="18" a="1"/>
  <c r="J73" i="18" s="1"/>
  <c r="K47" i="18" a="1"/>
  <c r="K47" i="18" s="1"/>
  <c r="J47" i="18" a="1"/>
  <c r="J47" i="18" s="1"/>
  <c r="K27" i="18" a="1"/>
  <c r="K27" i="18" s="1"/>
  <c r="J27" i="18" a="1"/>
  <c r="J27" i="18" s="1"/>
  <c r="K42" i="18" a="1"/>
  <c r="K42" i="18" s="1"/>
  <c r="J42" i="18" a="1"/>
  <c r="J42" i="18" s="1"/>
  <c r="J24" i="18" a="1"/>
  <c r="J24" i="18" s="1"/>
  <c r="K24" i="18" a="1"/>
  <c r="K24" i="18" s="1"/>
  <c r="J64" i="18" a="1"/>
  <c r="J64" i="18" s="1"/>
  <c r="K64" i="18" a="1"/>
  <c r="K64" i="18" s="1"/>
  <c r="K31" i="18" a="1"/>
  <c r="K31" i="18" s="1"/>
  <c r="J31" i="18" a="1"/>
  <c r="J31" i="18" s="1"/>
  <c r="J48" i="18" a="1"/>
  <c r="J48" i="18" s="1"/>
  <c r="K48" i="18" a="1"/>
  <c r="K48" i="18" s="1"/>
  <c r="K41" i="18" a="1"/>
  <c r="K41" i="18" s="1"/>
  <c r="J41" i="18" a="1"/>
  <c r="J41" i="18" s="1"/>
  <c r="J15" i="18" a="1"/>
  <c r="J15" i="18" s="1"/>
  <c r="K15" i="18" a="1"/>
  <c r="K15" i="18" s="1"/>
  <c r="K43" i="18" a="1"/>
  <c r="K43" i="18" s="1"/>
  <c r="J43" i="18" a="1"/>
  <c r="J43" i="18" s="1"/>
  <c r="K18" i="18" a="1"/>
  <c r="K18" i="18" s="1"/>
  <c r="J18" i="18" a="1"/>
  <c r="J18" i="18" s="1"/>
  <c r="K65" i="18" a="1"/>
  <c r="K65" i="18" s="1"/>
  <c r="J65" i="18" a="1"/>
  <c r="J65" i="18" s="1"/>
  <c r="K68" i="18" a="1"/>
  <c r="K68" i="18" s="1"/>
  <c r="J68" i="18" a="1"/>
  <c r="J68" i="18" s="1"/>
  <c r="K51" i="18" a="1"/>
  <c r="K51" i="18" s="1"/>
  <c r="J51" i="18" a="1"/>
  <c r="J51" i="18" s="1"/>
  <c r="K28" i="18" a="1"/>
  <c r="K28" i="18" s="1"/>
  <c r="J28" i="18" a="1"/>
  <c r="J28" i="18" s="1"/>
  <c r="K61" i="18" a="1"/>
  <c r="K61" i="18" s="1"/>
  <c r="J61" i="18" a="1"/>
  <c r="J61" i="18" s="1"/>
  <c r="K63" i="18" a="1"/>
  <c r="K63" i="18" s="1"/>
  <c r="J63" i="18" a="1"/>
  <c r="J63" i="18" s="1"/>
  <c r="K46" i="18" a="1"/>
  <c r="K46" i="18" s="1"/>
  <c r="J46" i="18" a="1"/>
  <c r="J46" i="18" s="1"/>
  <c r="K23" i="18" a="1"/>
  <c r="K23" i="18" s="1"/>
  <c r="J23" i="18" a="1"/>
  <c r="J23" i="18" s="1"/>
  <c r="K52" i="18" a="1"/>
  <c r="K52" i="18" s="1"/>
  <c r="J52" i="18" a="1"/>
  <c r="J52" i="18" s="1"/>
  <c r="K35" i="18" a="1"/>
  <c r="K35" i="18" s="1"/>
  <c r="J35" i="18" a="1"/>
  <c r="J35" i="18" s="1"/>
  <c r="J12" i="18" a="1"/>
  <c r="J12" i="18" s="1"/>
  <c r="K12" i="18" a="1"/>
  <c r="K12" i="18" s="1"/>
  <c r="K57" i="18" a="1"/>
  <c r="K57" i="18" s="1"/>
  <c r="J57" i="18" a="1"/>
  <c r="J57" i="18" s="1"/>
  <c r="K36" i="18" a="1"/>
  <c r="K36" i="18" s="1"/>
  <c r="J36" i="18" a="1"/>
  <c r="J36" i="18" s="1"/>
  <c r="K19" i="18" a="1"/>
  <c r="K19" i="18" s="1"/>
  <c r="J19" i="18" a="1"/>
  <c r="J19" i="18" s="1"/>
</calcChain>
</file>

<file path=xl/sharedStrings.xml><?xml version="1.0" encoding="utf-8"?>
<sst xmlns="http://schemas.openxmlformats.org/spreadsheetml/2006/main" count="40" uniqueCount="13">
  <si>
    <t>COD</t>
  </si>
  <si>
    <t>PRODUTO</t>
  </si>
  <si>
    <t>ENG</t>
  </si>
  <si>
    <t>VALOR TOTAL</t>
  </si>
  <si>
    <t>V. TRANSF</t>
  </si>
  <si>
    <t>QNTD TOTAL</t>
  </si>
  <si>
    <t>QNTD</t>
  </si>
  <si>
    <t>ENTRADA</t>
  </si>
  <si>
    <t>SAÍDA</t>
  </si>
  <si>
    <t>ROMANEIO</t>
  </si>
  <si>
    <t>TRANSFERENCIA - SECO</t>
  </si>
  <si>
    <t>TRANSFERENCIA - PRODUTO</t>
  </si>
  <si>
    <t>TOTAL 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</si>
</sst>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0.0"/>
  </numFmts>
  <fonts count="14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FF0000"/>
      <name val="Calibri"/>
      <family val="2"/>
      <charset val="1"/>
    </font>
    <font>
      <b/>
      <sz val="15"/>
      <color rgb="FFFFFF00"/>
      <name val="Calibri Light"/>
      <family val="2"/>
      <charset val="1"/>
    </font>
    <font>
      <b/>
      <sz val="16"/>
      <color rgb="FF000000"/>
      <name val="Calibri"/>
      <family val="2"/>
    </font>
    <font>
      <sz val="12"/>
      <color rgb="FF000000"/>
      <name val="Calibri"/>
      <family val="2"/>
      <charset val="1"/>
    </font>
    <font>
      <sz val="11"/>
      <color theme="0"/>
      <name val="Calibri"/>
      <family val="2"/>
      <charset val="1"/>
    </font>
    <font>
      <b/>
      <sz val="18"/>
      <color rgb="FF000000"/>
      <name val="Calibri"/>
      <family val="2"/>
    </font>
    <font>
      <sz val="16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5"/>
      <color rgb="FFFFFF00"/>
      <name val="Calibri"/>
      <family val="2"/>
    </font>
    <font>
      <b/>
      <sz val="15"/>
      <color rgb="FFFFFF00"/>
      <name val="Calibri"/>
      <family val="2"/>
      <scheme val="minor"/>
    </font>
    <font>
      <b/>
      <sz val="11"/>
      <color rgb="FFC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B3333"/>
        <bgColor rgb="FFFF0000"/>
      </patternFill>
    </fill>
    <fill>
      <patternFill patternType="solid">
        <fgColor rgb="FFD9D9D9"/>
        <bgColor rgb="FFE7E6E6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rgb="FFE7E6E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9" tint="0.79998168889431442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E7E6E6"/>
      </patternFill>
    </fill>
  </fills>
  <borders count="25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indexed="64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0" fillId="0" borderId="2" xfId="0" applyBorder="1"/>
    <xf numFmtId="0" fontId="2" fillId="0" borderId="0" xfId="0" applyFont="1"/>
    <xf numFmtId="0" fontId="2" fillId="0" borderId="1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0" fillId="8" borderId="0" xfId="0" applyFill="1"/>
    <xf numFmtId="0" fontId="2" fillId="8" borderId="0" xfId="0" applyFont="1" applyFill="1"/>
    <xf numFmtId="0" fontId="7" fillId="0" borderId="0" xfId="0" applyFont="1"/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164" fontId="5" fillId="5" borderId="12" xfId="0" applyNumberFormat="1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1" fontId="9" fillId="4" borderId="14" xfId="0" applyNumberFormat="1" applyFont="1" applyFill="1" applyBorder="1" applyAlignment="1">
      <alignment horizontal="center"/>
    </xf>
    <xf numFmtId="1" fontId="10" fillId="4" borderId="8" xfId="0" applyNumberFormat="1" applyFont="1" applyFill="1" applyBorder="1" applyAlignment="1">
      <alignment horizontal="center"/>
    </xf>
    <xf numFmtId="1" fontId="10" fillId="4" borderId="11" xfId="0" applyNumberFormat="1" applyFont="1" applyFill="1" applyBorder="1" applyAlignment="1">
      <alignment horizontal="center"/>
    </xf>
    <xf numFmtId="1" fontId="10" fillId="4" borderId="17" xfId="0" applyNumberFormat="1" applyFont="1" applyFill="1" applyBorder="1" applyAlignment="1">
      <alignment horizontal="center"/>
    </xf>
    <xf numFmtId="1" fontId="10" fillId="4" borderId="22" xfId="0" applyNumberFormat="1" applyFont="1" applyFill="1" applyBorder="1" applyAlignment="1">
      <alignment horizontal="center"/>
    </xf>
    <xf numFmtId="0" fontId="0" fillId="8" borderId="18" xfId="0" applyFill="1" applyBorder="1"/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44" fontId="10" fillId="0" borderId="0" xfId="0" applyNumberFormat="1" applyFont="1" applyAlignment="1">
      <alignment horizontal="left"/>
    </xf>
    <xf numFmtId="0" fontId="0" fillId="8" borderId="10" xfId="0" applyFill="1" applyBorder="1"/>
    <xf numFmtId="1" fontId="10" fillId="6" borderId="8" xfId="0" applyNumberFormat="1" applyFont="1" applyFill="1" applyBorder="1" applyAlignment="1">
      <alignment horizontal="center"/>
    </xf>
    <xf numFmtId="1" fontId="10" fillId="6" borderId="11" xfId="0" applyNumberFormat="1" applyFont="1" applyFill="1" applyBorder="1" applyAlignment="1">
      <alignment horizontal="center"/>
    </xf>
    <xf numFmtId="0" fontId="10" fillId="10" borderId="11" xfId="0" applyFont="1" applyFill="1" applyBorder="1" applyAlignment="1">
      <alignment horizontal="left"/>
    </xf>
    <xf numFmtId="44" fontId="10" fillId="10" borderId="12" xfId="0" applyNumberFormat="1" applyFont="1" applyFill="1" applyBorder="1" applyAlignment="1">
      <alignment horizontal="left"/>
    </xf>
    <xf numFmtId="0" fontId="10" fillId="11" borderId="11" xfId="0" applyFont="1" applyFill="1" applyBorder="1" applyAlignment="1">
      <alignment horizontal="left"/>
    </xf>
    <xf numFmtId="44" fontId="10" fillId="11" borderId="12" xfId="0" applyNumberFormat="1" applyFont="1" applyFill="1" applyBorder="1" applyAlignment="1">
      <alignment horizontal="left"/>
    </xf>
    <xf numFmtId="0" fontId="7" fillId="12" borderId="0" xfId="0" applyFont="1" applyFill="1"/>
    <xf numFmtId="0" fontId="10" fillId="7" borderId="12" xfId="0" applyFont="1" applyFill="1" applyBorder="1" applyAlignment="1">
      <alignment horizontal="left"/>
    </xf>
    <xf numFmtId="0" fontId="0" fillId="8" borderId="14" xfId="0" applyFill="1" applyBorder="1"/>
    <xf numFmtId="165" fontId="9" fillId="4" borderId="14" xfId="0" applyNumberFormat="1" applyFont="1" applyFill="1" applyBorder="1" applyAlignment="1">
      <alignment horizontal="center"/>
    </xf>
    <xf numFmtId="0" fontId="3" fillId="0" borderId="0" xfId="0" applyFont="1"/>
    <xf numFmtId="0" fontId="2" fillId="3" borderId="8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13" borderId="8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vertical="center" wrapText="1"/>
    </xf>
    <xf numFmtId="0" fontId="6" fillId="10" borderId="11" xfId="0" applyFont="1" applyFill="1" applyBorder="1" applyAlignment="1">
      <alignment horizontal="left"/>
    </xf>
    <xf numFmtId="0" fontId="6" fillId="11" borderId="11" xfId="0" applyFont="1" applyFill="1" applyBorder="1" applyAlignment="1">
      <alignment horizontal="left"/>
    </xf>
    <xf numFmtId="0" fontId="2" fillId="9" borderId="16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2" fillId="9" borderId="19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left" vertical="center" wrapText="1"/>
    </xf>
    <xf numFmtId="0" fontId="2" fillId="5" borderId="12" xfId="0" applyFont="1" applyFill="1" applyBorder="1" applyAlignment="1">
      <alignment horizontal="left" vertical="center" wrapText="1"/>
    </xf>
    <xf numFmtId="0" fontId="2" fillId="5" borderId="10" xfId="0" applyFont="1" applyFill="1" applyBorder="1" applyAlignment="1">
      <alignment horizontal="left" vertical="center" wrapText="1"/>
    </xf>
    <xf numFmtId="0" fontId="2" fillId="5" borderId="19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left" vertical="center" wrapText="1"/>
    </xf>
    <xf numFmtId="0" fontId="8" fillId="5" borderId="12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164" fontId="5" fillId="5" borderId="5" xfId="0" applyNumberFormat="1" applyFont="1" applyFill="1" applyBorder="1" applyAlignment="1">
      <alignment horizontal="left" vertical="center" wrapText="1"/>
    </xf>
    <xf numFmtId="164" fontId="5" fillId="5" borderId="6" xfId="0" applyNumberFormat="1" applyFont="1" applyFill="1" applyBorder="1" applyAlignment="1">
      <alignment horizontal="left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left"/>
    </xf>
    <xf numFmtId="0" fontId="10" fillId="7" borderId="14" xfId="0" applyFont="1" applyFill="1" applyBorder="1" applyAlignment="1">
      <alignment horizontal="left"/>
    </xf>
    <xf numFmtId="0" fontId="10" fillId="7" borderId="6" xfId="0" applyFont="1" applyFill="1" applyBorder="1" applyAlignment="1">
      <alignment horizontal="left"/>
    </xf>
    <xf numFmtId="0" fontId="5" fillId="5" borderId="13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6" fillId="7" borderId="13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0" fontId="2" fillId="5" borderId="13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24" xfId="0" applyFont="1" applyFill="1" applyBorder="1" applyAlignment="1">
      <alignment horizontal="center" vertical="center" wrapText="1"/>
    </xf>
    <xf numFmtId="0" fontId="13" fillId="9" borderId="16" xfId="0" applyFont="1" applyFill="1" applyBorder="1" applyAlignment="1">
      <alignment horizontal="center" vertical="center" wrapText="1"/>
    </xf>
    <xf numFmtId="0" fontId="13" fillId="9" borderId="7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13" fillId="9" borderId="10" xfId="0" applyFont="1" applyFill="1" applyBorder="1" applyAlignment="1">
      <alignment horizontal="center" vertical="center" wrapText="1"/>
    </xf>
    <xf numFmtId="0" fontId="13" fillId="9" borderId="19" xfId="0" applyFont="1" applyFill="1" applyBorder="1" applyAlignment="1">
      <alignment horizontal="center" vertical="center" wrapText="1"/>
    </xf>
    <xf numFmtId="0" fontId="0" fillId="0" borderId="10" xfId="0" applyBorder="1"/>
    <xf numFmtId="0" fontId="12" fillId="2" borderId="7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Vírgula 2 2" xfId="1" xr:uid="{F29B9033-C036-47F9-9CA6-4F72FB24ABE9}"/>
  </cellStyles>
  <dxfs count="7">
    <dxf>
      <font>
        <color auto="1"/>
      </font>
      <fill>
        <patternFill>
          <bgColor theme="1"/>
        </patternFill>
      </fill>
    </dxf>
    <dxf>
      <font>
        <color auto="1"/>
      </font>
      <fill>
        <patternFill>
          <bgColor theme="1"/>
        </patternFill>
      </fill>
    </dxf>
    <dxf>
      <font>
        <color auto="1"/>
      </font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7F7F7F"/>
      <rgbColor rgb="FF9999FF"/>
      <rgbColor rgb="FF993366"/>
      <rgbColor rgb="FFE7E6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D427"/>
      <rgbColor rgb="FFFF9900"/>
      <rgbColor rgb="FFFB3333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5757"/>
      <color rgb="FFFD4F3D"/>
      <color rgb="FFE79C39"/>
      <color rgb="FFFF7D7D"/>
      <color rgb="FF70AD47"/>
      <color rgb="FFFFCC00"/>
      <color rgb="FF035117"/>
      <color rgb="FFFD423D"/>
      <color rgb="FFCC0000"/>
      <color rgb="FFF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92447</xdr:colOff>
      <xdr:row>1</xdr:row>
      <xdr:rowOff>117234</xdr:rowOff>
    </xdr:from>
    <xdr:to>
      <xdr:col>4</xdr:col>
      <xdr:colOff>97914</xdr:colOff>
      <xdr:row>4</xdr:row>
      <xdr:rowOff>191756</xdr:rowOff>
    </xdr:to>
    <xdr:pic>
      <xdr:nvPicPr>
        <xdr:cNvPr id="2" name="Imagem 1" descr="http://riodasostras.portallocal.com.br/wp-content/uploads/2018/07/eskimo-logo.png">
          <a:extLst>
            <a:ext uri="{FF2B5EF4-FFF2-40B4-BE49-F238E27FC236}">
              <a16:creationId xmlns:a16="http://schemas.microsoft.com/office/drawing/2014/main" id="{9D58E00F-6A1F-4B1D-A4F6-B2066FDA1EA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/>
      </xdr:blipFill>
      <xdr:spPr>
        <a:xfrm>
          <a:off x="226918" y="218087"/>
          <a:ext cx="1350172" cy="679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103653</xdr:colOff>
      <xdr:row>1</xdr:row>
      <xdr:rowOff>117234</xdr:rowOff>
    </xdr:from>
    <xdr:to>
      <xdr:col>4</xdr:col>
      <xdr:colOff>109120</xdr:colOff>
      <xdr:row>4</xdr:row>
      <xdr:rowOff>191756</xdr:rowOff>
    </xdr:to>
    <xdr:pic>
      <xdr:nvPicPr>
        <xdr:cNvPr id="2" name="Imagem 1" descr="http://riodasostras.portallocal.com.br/wp-content/uploads/2018/07/eskimo-logo.png">
          <a:extLst>
            <a:ext uri="{FF2B5EF4-FFF2-40B4-BE49-F238E27FC236}">
              <a16:creationId xmlns:a16="http://schemas.microsoft.com/office/drawing/2014/main" id="{26860572-D538-4766-8FE9-8804A7DC9B3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/>
      </xdr:blipFill>
      <xdr:spPr>
        <a:xfrm>
          <a:off x="237003" y="212484"/>
          <a:ext cx="1348492" cy="674597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2031066</xdr:colOff>
      <xdr:row>1</xdr:row>
      <xdr:rowOff>49999</xdr:rowOff>
    </xdr:from>
    <xdr:to>
      <xdr:col>11</xdr:col>
      <xdr:colOff>3384352</xdr:colOff>
      <xdr:row>4</xdr:row>
      <xdr:rowOff>124521</xdr:rowOff>
    </xdr:to>
    <xdr:pic>
      <xdr:nvPicPr>
        <xdr:cNvPr id="2" name="Imagem 1" descr="http://riodasostras.portallocal.com.br/wp-content/uploads/2018/07/eskimo-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/>
      </xdr:blipFill>
      <xdr:spPr>
        <a:xfrm>
          <a:off x="9606242" y="150852"/>
          <a:ext cx="1353286" cy="679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49A01-DE32-4FA3-857D-41AC046AC89A}">
  <sheetPr codeName="Planilha10">
    <tabColor rgb="FF92D050"/>
    <pageSetUpPr fitToPage="1"/>
  </sheetPr>
  <dimension ref="B1:R75"/>
  <sheetViews>
    <sheetView showGridLines="0" showRowColHeaders="0" tabSelected="1" zoomScale="85" zoomScaleNormal="85" workbookViewId="0">
      <selection sqref="A1:XFD1048576"/>
    </sheetView>
  </sheetViews>
  <sheetFormatPr defaultColWidth="8.7109375" defaultRowHeight="15" x14ac:dyDescent="0.25"/>
  <cols>
    <col min="1" max="1" width="2" customWidth="1"/>
    <col min="2" max="2" width="2.140625" customWidth="1"/>
    <col min="3" max="3" width="9.42578125" customWidth="1"/>
    <col min="4" max="4" width="8.5703125" customWidth="1"/>
    <col min="5" max="5" width="40.7109375" customWidth="1"/>
    <col min="6" max="6" width="13.42578125" customWidth="1"/>
    <col min="7" max="7" width="1.28515625" customWidth="1"/>
    <col min="8" max="8" width="9.42578125" bestFit="1" customWidth="1"/>
    <col min="9" max="9" width="7.28515625" customWidth="1"/>
    <col min="10" max="10" width="40.7109375" customWidth="1"/>
    <col min="11" max="11" width="13.28515625" customWidth="1"/>
    <col min="12" max="12" width="0.7109375" customWidth="1"/>
    <col min="13" max="13" width="8.7109375" customWidth="1"/>
  </cols>
  <sheetData>
    <row r="1" spans="2:18" ht="7.5" customHeight="1" thickBot="1" x14ac:dyDescent="0.3"/>
    <row r="2" spans="2:18" ht="15" customHeight="1" x14ac:dyDescent="0.25">
      <c r="B2" s="1"/>
      <c r="C2" s="59" t="s">
        <v>11</v>
      </c>
      <c r="D2" s="60"/>
      <c r="E2" s="60"/>
      <c r="F2" s="60"/>
      <c r="G2" s="60"/>
      <c r="H2" s="60"/>
      <c r="I2" s="60"/>
      <c r="J2" s="60"/>
      <c r="K2" s="61"/>
      <c r="M2" s="9"/>
    </row>
    <row r="3" spans="2:18" ht="15" customHeight="1" x14ac:dyDescent="0.25">
      <c r="B3" s="1"/>
      <c r="C3" s="62"/>
      <c r="D3" s="63"/>
      <c r="E3" s="63"/>
      <c r="F3" s="63"/>
      <c r="G3" s="63"/>
      <c r="H3" s="63"/>
      <c r="I3" s="63"/>
      <c r="J3" s="63"/>
      <c r="K3" s="64"/>
    </row>
    <row r="4" spans="2:18" ht="17.25" customHeight="1" x14ac:dyDescent="0.25">
      <c r="B4" s="1"/>
      <c r="C4" s="62"/>
      <c r="D4" s="63"/>
      <c r="E4" s="63"/>
      <c r="F4" s="63"/>
      <c r="G4" s="63"/>
      <c r="H4" s="63"/>
      <c r="I4" s="63"/>
      <c r="J4" s="63"/>
      <c r="K4" s="64"/>
    </row>
    <row r="5" spans="2:18" ht="17.25" customHeight="1" x14ac:dyDescent="0.25">
      <c r="B5" s="1"/>
      <c r="C5" s="62"/>
      <c r="D5" s="63"/>
      <c r="E5" s="63"/>
      <c r="F5" s="63"/>
      <c r="G5" s="63"/>
      <c r="H5" s="63"/>
      <c r="I5" s="63"/>
      <c r="J5" s="63"/>
      <c r="K5" s="64"/>
    </row>
    <row r="6" spans="2:18" ht="7.5" customHeight="1" thickBot="1" x14ac:dyDescent="0.3">
      <c r="C6" s="62"/>
      <c r="D6" s="63"/>
      <c r="E6" s="63"/>
      <c r="F6" s="63"/>
      <c r="G6" s="65"/>
      <c r="H6" s="65"/>
      <c r="I6" s="65"/>
      <c r="J6" s="65"/>
      <c r="K6" s="66"/>
    </row>
    <row r="7" spans="2:18" ht="24.75" customHeight="1" thickBot="1" x14ac:dyDescent="0.3">
      <c r="C7" s="15" t="s">
        <v>8</v>
      </c>
      <c r="D7" s="67" t="str">
        <f>IFERROR(IF(#REF!&lt;&gt;0,UPPER(#REF!),UPPER(#REF!)),"")</f>
        <v/>
      </c>
      <c r="E7" s="67"/>
      <c r="F7" s="68"/>
      <c r="G7" s="13"/>
      <c r="H7" s="15" t="s">
        <v>7</v>
      </c>
      <c r="I7" s="69"/>
      <c r="J7" s="69"/>
      <c r="K7" s="70"/>
    </row>
    <row r="8" spans="2:18" ht="26.25" customHeight="1" thickBot="1" x14ac:dyDescent="0.3">
      <c r="C8" s="71" t="s">
        <v>5</v>
      </c>
      <c r="D8" s="72"/>
      <c r="E8" s="73"/>
      <c r="F8" s="74"/>
      <c r="G8" s="13"/>
      <c r="H8" s="75" t="s">
        <v>3</v>
      </c>
      <c r="I8" s="76"/>
      <c r="J8" s="77"/>
      <c r="K8" s="78"/>
    </row>
    <row r="9" spans="2:18" ht="14.25" customHeight="1" thickBot="1" x14ac:dyDescent="0.3">
      <c r="B9" s="1"/>
      <c r="C9" s="10" t="s">
        <v>0</v>
      </c>
      <c r="D9" s="11" t="s">
        <v>6</v>
      </c>
      <c r="E9" s="11" t="s">
        <v>1</v>
      </c>
      <c r="F9" s="12" t="s">
        <v>4</v>
      </c>
      <c r="G9" s="7"/>
      <c r="H9" s="6" t="s">
        <v>0</v>
      </c>
      <c r="I9" s="4" t="s">
        <v>6</v>
      </c>
      <c r="J9" s="11" t="s">
        <v>1</v>
      </c>
      <c r="K9" s="5" t="s">
        <v>4</v>
      </c>
      <c r="M9" s="50"/>
      <c r="N9" s="51"/>
      <c r="O9" s="51"/>
      <c r="P9" s="51"/>
      <c r="Q9" s="51"/>
      <c r="R9" s="52"/>
    </row>
    <row r="10" spans="2:18" ht="19.5" thickBot="1" x14ac:dyDescent="0.35">
      <c r="C10" s="30"/>
      <c r="D10" s="31"/>
      <c r="E10" s="48"/>
      <c r="F10" s="33"/>
      <c r="G10" s="7"/>
      <c r="H10" s="21" t="str">
        <f t="array" aca="1" ref="H10:H73" ca="1">IF((C$72=""),"",IFERROR(INDEX(#REF!, SMALL(IF((#REF!&lt;&gt;0)*(#REF!&lt;&gt;"")*(ROW(#REF!)&gt;ROW(INDIRECT(M$2))), ROW(#REF!)-ROW(#REF!)+1), ROW()-ROW($H$10)+1)), ""))</f>
        <v/>
      </c>
      <c r="I10" s="22" t="str">
        <f t="array" aca="1" ref="I10" ca="1">IF((C$72=""),"",IFERROR(INDEX(#REF!, SMALL(IF((#REF!&lt;&gt;0)*(#REF!&lt;&gt;"")*(ROW(#REF!)&gt;ROW(INDIRECT($M$2))), ROW(#REF!)-ROW(#REF!)+1), ROW()-ROW($H$10)+1)), ""))</f>
        <v/>
      </c>
      <c r="J10" s="49" t="str">
        <f t="array" aca="1" ref="J10" ca="1">IF(H10=""," ",VLOOKUP('FATURAMENTO - PROD'!H10,#REF!,2,0))</f>
        <v xml:space="preserve"> </v>
      </c>
      <c r="K10" s="35" t="str">
        <f t="array" aca="1" ref="K10" ca="1">IF(H10=""," ",VLOOKUP('FATURAMENTO - PROD'!H10,#REF!,3,0))</f>
        <v xml:space="preserve"> </v>
      </c>
      <c r="M10" s="53"/>
      <c r="N10" s="54"/>
      <c r="O10" s="54"/>
      <c r="P10" s="54"/>
      <c r="Q10" s="54"/>
      <c r="R10" s="55"/>
    </row>
    <row r="11" spans="2:18" ht="19.5" thickBot="1" x14ac:dyDescent="0.35">
      <c r="C11" s="21"/>
      <c r="D11" s="22"/>
      <c r="E11" s="49"/>
      <c r="F11" s="35"/>
      <c r="G11" s="7"/>
      <c r="H11" s="30" t="str">
        <f ca="1"/>
        <v/>
      </c>
      <c r="I11" s="31" t="str">
        <f t="array" aca="1" ref="I11" ca="1">IF((C$72=""),"",IFERROR(INDEX(#REF!, SMALL(IF((#REF!&lt;&gt;0)*(#REF!&lt;&gt;"")*(ROW(#REF!)&gt;ROW(INDIRECT($M$2))), ROW(#REF!)-ROW(#REF!)+1), ROW()-ROW($H$10)+1)), ""))</f>
        <v/>
      </c>
      <c r="J11" s="48" t="str">
        <f t="array" aca="1" ref="J11" ca="1">IF(H11=""," ",VLOOKUP('FATURAMENTO - PROD'!H11,#REF!,2,0))</f>
        <v xml:space="preserve"> </v>
      </c>
      <c r="K11" s="33" t="str">
        <f t="array" aca="1" ref="K11" ca="1">IF(H11=""," ",VLOOKUP('FATURAMENTO - PROD'!H11,#REF!,3,0))</f>
        <v xml:space="preserve"> </v>
      </c>
      <c r="M11" s="53"/>
      <c r="N11" s="54"/>
      <c r="O11" s="54"/>
      <c r="P11" s="54"/>
      <c r="Q11" s="54"/>
      <c r="R11" s="55"/>
    </row>
    <row r="12" spans="2:18" ht="19.5" thickBot="1" x14ac:dyDescent="0.35">
      <c r="C12" s="30"/>
      <c r="D12" s="31"/>
      <c r="E12" s="48"/>
      <c r="F12" s="33"/>
      <c r="G12" s="7"/>
      <c r="H12" s="21" t="str">
        <f ca="1"/>
        <v/>
      </c>
      <c r="I12" s="22" t="str">
        <f t="array" aca="1" ref="I12" ca="1">IF((C$72=""),"",IFERROR(INDEX(#REF!, SMALL(IF((#REF!&lt;&gt;0)*(#REF!&lt;&gt;"")*(ROW(#REF!)&gt;ROW(INDIRECT($M$2))), ROW(#REF!)-ROW(#REF!)+1), ROW()-ROW($H$10)+1)), ""))</f>
        <v/>
      </c>
      <c r="J12" s="49" t="str">
        <f t="array" aca="1" ref="J12" ca="1">IF(H12=""," ",VLOOKUP('FATURAMENTO - PROD'!H12,#REF!,2,0))</f>
        <v xml:space="preserve"> </v>
      </c>
      <c r="K12" s="35" t="str">
        <f t="array" aca="1" ref="K12" ca="1">IF(H12=""," ",VLOOKUP('FATURAMENTO - PROD'!H12,#REF!,3,0))</f>
        <v xml:space="preserve"> </v>
      </c>
      <c r="M12" s="53"/>
      <c r="N12" s="54"/>
      <c r="O12" s="54"/>
      <c r="P12" s="54"/>
      <c r="Q12" s="54"/>
      <c r="R12" s="55"/>
    </row>
    <row r="13" spans="2:18" ht="19.5" thickBot="1" x14ac:dyDescent="0.35">
      <c r="C13" s="21"/>
      <c r="D13" s="22"/>
      <c r="E13" s="49"/>
      <c r="F13" s="35"/>
      <c r="G13" s="7"/>
      <c r="H13" s="30" t="str">
        <f ca="1"/>
        <v/>
      </c>
      <c r="I13" s="31" t="str">
        <f t="array" aca="1" ref="I13" ca="1">IF((C$72=""),"",IFERROR(INDEX(#REF!, SMALL(IF((#REF!&lt;&gt;0)*(#REF!&lt;&gt;"")*(ROW(#REF!)&gt;ROW(INDIRECT($M$2))), ROW(#REF!)-ROW(#REF!)+1), ROW()-ROW($H$10)+1)), ""))</f>
        <v/>
      </c>
      <c r="J13" s="48" t="str">
        <f t="array" aca="1" ref="J13" ca="1">IF(H13=""," ",VLOOKUP('FATURAMENTO - PROD'!H13,#REF!,2,0))</f>
        <v xml:space="preserve"> </v>
      </c>
      <c r="K13" s="33" t="str">
        <f t="array" aca="1" ref="K13" ca="1">IF(H13=""," ",VLOOKUP('FATURAMENTO - PROD'!H13,#REF!,3,0))</f>
        <v xml:space="preserve"> </v>
      </c>
      <c r="M13" s="53"/>
      <c r="N13" s="54"/>
      <c r="O13" s="54"/>
      <c r="P13" s="54"/>
      <c r="Q13" s="54"/>
      <c r="R13" s="55"/>
    </row>
    <row r="14" spans="2:18" ht="19.5" thickBot="1" x14ac:dyDescent="0.35">
      <c r="C14" s="30"/>
      <c r="D14" s="31"/>
      <c r="E14" s="48"/>
      <c r="F14" s="33"/>
      <c r="G14" s="7"/>
      <c r="H14" s="21" t="str">
        <f ca="1"/>
        <v/>
      </c>
      <c r="I14" s="22" t="str">
        <f t="array" aca="1" ref="I14" ca="1">IF((C$72=""),"",IFERROR(INDEX(#REF!, SMALL(IF((#REF!&lt;&gt;0)*(#REF!&lt;&gt;"")*(ROW(#REF!)&gt;ROW(INDIRECT($M$2))), ROW(#REF!)-ROW(#REF!)+1), ROW()-ROW($H$10)+1)), ""))</f>
        <v/>
      </c>
      <c r="J14" s="49" t="str">
        <f t="array" aca="1" ref="J14" ca="1">IF(H14=""," ",VLOOKUP('FATURAMENTO - PROD'!H14,#REF!,2,0))</f>
        <v xml:space="preserve"> </v>
      </c>
      <c r="K14" s="35" t="str">
        <f t="array" aca="1" ref="K14" ca="1">IF(H14=""," ",VLOOKUP('FATURAMENTO - PROD'!H14,#REF!,3,0))</f>
        <v xml:space="preserve"> </v>
      </c>
      <c r="M14" s="53"/>
      <c r="N14" s="54"/>
      <c r="O14" s="54"/>
      <c r="P14" s="54"/>
      <c r="Q14" s="54"/>
      <c r="R14" s="55"/>
    </row>
    <row r="15" spans="2:18" ht="19.5" thickBot="1" x14ac:dyDescent="0.35">
      <c r="C15" s="21"/>
      <c r="D15" s="22"/>
      <c r="E15" s="49"/>
      <c r="F15" s="35"/>
      <c r="G15" s="7"/>
      <c r="H15" s="30" t="str">
        <f ca="1"/>
        <v/>
      </c>
      <c r="I15" s="31" t="str">
        <f t="array" aca="1" ref="I15" ca="1">IF((C$72=""),"",IFERROR(INDEX(#REF!, SMALL(IF((#REF!&lt;&gt;0)*(#REF!&lt;&gt;"")*(ROW(#REF!)&gt;ROW(INDIRECT($M$2))), ROW(#REF!)-ROW(#REF!)+1), ROW()-ROW($H$10)+1)), ""))</f>
        <v/>
      </c>
      <c r="J15" s="48" t="str">
        <f t="array" aca="1" ref="J15" ca="1">IF(H15=""," ",VLOOKUP('FATURAMENTO - PROD'!H15,#REF!,2,0))</f>
        <v xml:space="preserve"> </v>
      </c>
      <c r="K15" s="33" t="str">
        <f t="array" aca="1" ref="K15" ca="1">IF(H15=""," ",VLOOKUP('FATURAMENTO - PROD'!H15,#REF!,3,0))</f>
        <v xml:space="preserve"> </v>
      </c>
      <c r="M15" s="56"/>
      <c r="N15" s="57"/>
      <c r="O15" s="57"/>
      <c r="P15" s="57"/>
      <c r="Q15" s="57"/>
      <c r="R15" s="58"/>
    </row>
    <row r="16" spans="2:18" ht="19.5" thickBot="1" x14ac:dyDescent="0.35">
      <c r="C16" s="30"/>
      <c r="D16" s="31"/>
      <c r="E16" s="48"/>
      <c r="F16" s="33"/>
      <c r="G16" s="7"/>
      <c r="H16" s="21" t="str">
        <f ca="1"/>
        <v/>
      </c>
      <c r="I16" s="22" t="str">
        <f t="array" aca="1" ref="I16" ca="1">IF((C$72=""),"",IFERROR(INDEX(#REF!, SMALL(IF((#REF!&lt;&gt;0)*(#REF!&lt;&gt;"")*(ROW(#REF!)&gt;ROW(INDIRECT($M$2))), ROW(#REF!)-ROW(#REF!)+1), ROW()-ROW($H$10)+1)), ""))</f>
        <v/>
      </c>
      <c r="J16" s="49" t="str">
        <f t="array" aca="1" ref="J16" ca="1">IF(H16=""," ",VLOOKUP('FATURAMENTO - PROD'!H16,#REF!,2,0))</f>
        <v xml:space="preserve"> </v>
      </c>
      <c r="K16" s="35" t="str">
        <f t="array" aca="1" ref="K16" ca="1">IF(H16=""," ",VLOOKUP('FATURAMENTO - PROD'!H16,#REF!,3,0))</f>
        <v xml:space="preserve"> </v>
      </c>
    </row>
    <row r="17" spans="3:11" ht="19.5" thickBot="1" x14ac:dyDescent="0.35">
      <c r="C17" s="21"/>
      <c r="D17" s="22"/>
      <c r="E17" s="49"/>
      <c r="F17" s="35"/>
      <c r="G17" s="7"/>
      <c r="H17" s="30" t="str">
        <f ca="1"/>
        <v/>
      </c>
      <c r="I17" s="31" t="str">
        <f t="array" aca="1" ref="I17" ca="1">IF((C$72=""),"",IFERROR(INDEX(#REF!, SMALL(IF((#REF!&lt;&gt;0)*(#REF!&lt;&gt;"")*(ROW(#REF!)&gt;ROW(INDIRECT($M$2))), ROW(#REF!)-ROW(#REF!)+1), ROW()-ROW($H$10)+1)), ""))</f>
        <v/>
      </c>
      <c r="J17" s="48" t="str">
        <f t="array" aca="1" ref="J17" ca="1">IF(H17=""," ",VLOOKUP('FATURAMENTO - PROD'!H17,#REF!,2,0))</f>
        <v xml:space="preserve"> </v>
      </c>
      <c r="K17" s="33" t="str">
        <f t="array" aca="1" ref="K17" ca="1">IF(H17=""," ",VLOOKUP('FATURAMENTO - PROD'!H17,#REF!,3,0))</f>
        <v xml:space="preserve"> </v>
      </c>
    </row>
    <row r="18" spans="3:11" ht="19.5" thickBot="1" x14ac:dyDescent="0.35">
      <c r="C18" s="30"/>
      <c r="D18" s="31"/>
      <c r="E18" s="48"/>
      <c r="F18" s="33"/>
      <c r="G18" s="7"/>
      <c r="H18" s="21" t="str">
        <f ca="1"/>
        <v/>
      </c>
      <c r="I18" s="22" t="str">
        <f t="array" aca="1" ref="I18" ca="1">IF((C$72=""),"",IFERROR(INDEX(#REF!, SMALL(IF((#REF!&lt;&gt;0)*(#REF!&lt;&gt;"")*(ROW(#REF!)&gt;ROW(INDIRECT($M$2))), ROW(#REF!)-ROW(#REF!)+1), ROW()-ROW($H$10)+1)), ""))</f>
        <v/>
      </c>
      <c r="J18" s="49" t="str">
        <f t="array" aca="1" ref="J18" ca="1">IF(H18=""," ",VLOOKUP('FATURAMENTO - PROD'!H18,#REF!,2,0))</f>
        <v xml:space="preserve"> </v>
      </c>
      <c r="K18" s="35" t="str">
        <f t="array" aca="1" ref="K18" ca="1">IF(H18=""," ",VLOOKUP('FATURAMENTO - PROD'!H18,#REF!,3,0))</f>
        <v xml:space="preserve"> </v>
      </c>
    </row>
    <row r="19" spans="3:11" ht="19.5" thickBot="1" x14ac:dyDescent="0.35">
      <c r="C19" s="21"/>
      <c r="D19" s="22"/>
      <c r="E19" s="49"/>
      <c r="F19" s="35"/>
      <c r="G19" s="7"/>
      <c r="H19" s="30" t="str">
        <f ca="1"/>
        <v/>
      </c>
      <c r="I19" s="31" t="str">
        <f t="array" aca="1" ref="I19" ca="1">IF((C$72=""),"",IFERROR(INDEX(#REF!, SMALL(IF((#REF!&lt;&gt;0)*(#REF!&lt;&gt;"")*(ROW(#REF!)&gt;ROW(INDIRECT($M$2))), ROW(#REF!)-ROW(#REF!)+1), ROW()-ROW($H$10)+1)), ""))</f>
        <v/>
      </c>
      <c r="J19" s="48" t="str">
        <f t="array" aca="1" ref="J19" ca="1">IF(H19=""," ",VLOOKUP('FATURAMENTO - PROD'!H19,#REF!,2,0))</f>
        <v xml:space="preserve"> </v>
      </c>
      <c r="K19" s="33" t="str">
        <f t="array" aca="1" ref="K19" ca="1">IF(H19=""," ",VLOOKUP('FATURAMENTO - PROD'!H19,#REF!,3,0))</f>
        <v xml:space="preserve"> </v>
      </c>
    </row>
    <row r="20" spans="3:11" ht="19.5" thickBot="1" x14ac:dyDescent="0.35">
      <c r="C20" s="30"/>
      <c r="D20" s="31"/>
      <c r="E20" s="48"/>
      <c r="F20" s="33"/>
      <c r="G20" s="7"/>
      <c r="H20" s="21" t="str">
        <f ca="1"/>
        <v/>
      </c>
      <c r="I20" s="22" t="str">
        <f t="array" aca="1" ref="I20" ca="1">IF((C$72=""),"",IFERROR(INDEX(#REF!, SMALL(IF((#REF!&lt;&gt;0)*(#REF!&lt;&gt;"")*(ROW(#REF!)&gt;ROW(INDIRECT($M$2))), ROW(#REF!)-ROW(#REF!)+1), ROW()-ROW($H$10)+1)), ""))</f>
        <v/>
      </c>
      <c r="J20" s="49" t="str">
        <f t="array" aca="1" ref="J20" ca="1">IF(H20=""," ",VLOOKUP('FATURAMENTO - PROD'!H20,#REF!,2,0))</f>
        <v xml:space="preserve"> </v>
      </c>
      <c r="K20" s="35" t="str">
        <f t="array" aca="1" ref="K20" ca="1">IF(H20=""," ",VLOOKUP('FATURAMENTO - PROD'!H20,#REF!,3,0))</f>
        <v xml:space="preserve"> </v>
      </c>
    </row>
    <row r="21" spans="3:11" ht="19.5" thickBot="1" x14ac:dyDescent="0.35">
      <c r="C21" s="21"/>
      <c r="D21" s="22"/>
      <c r="E21" s="49"/>
      <c r="F21" s="35"/>
      <c r="G21" s="7"/>
      <c r="H21" s="30" t="str">
        <f ca="1"/>
        <v/>
      </c>
      <c r="I21" s="31" t="str">
        <f t="array" aca="1" ref="I21" ca="1">IF((C$72=""),"",IFERROR(INDEX(#REF!, SMALL(IF((#REF!&lt;&gt;0)*(#REF!&lt;&gt;"")*(ROW(#REF!)&gt;ROW(INDIRECT($M$2))), ROW(#REF!)-ROW(#REF!)+1), ROW()-ROW($H$10)+1)), ""))</f>
        <v/>
      </c>
      <c r="J21" s="48" t="str">
        <f t="array" aca="1" ref="J21" ca="1">IF(H21=""," ",VLOOKUP('FATURAMENTO - PROD'!H21,#REF!,2,0))</f>
        <v xml:space="preserve"> </v>
      </c>
      <c r="K21" s="33" t="str">
        <f t="array" aca="1" ref="K21" ca="1">IF(H21=""," ",VLOOKUP('FATURAMENTO - PROD'!H21,#REF!,3,0))</f>
        <v xml:space="preserve"> </v>
      </c>
    </row>
    <row r="22" spans="3:11" ht="19.5" thickBot="1" x14ac:dyDescent="0.35">
      <c r="C22" s="30"/>
      <c r="D22" s="31"/>
      <c r="E22" s="48"/>
      <c r="F22" s="33"/>
      <c r="G22" s="7"/>
      <c r="H22" s="21" t="str">
        <f ca="1"/>
        <v/>
      </c>
      <c r="I22" s="22" t="str">
        <f t="array" aca="1" ref="I22" ca="1">IF((C$72=""),"",IFERROR(INDEX(#REF!, SMALL(IF((#REF!&lt;&gt;0)*(#REF!&lt;&gt;"")*(ROW(#REF!)&gt;ROW(INDIRECT($M$2))), ROW(#REF!)-ROW(#REF!)+1), ROW()-ROW($H$10)+1)), ""))</f>
        <v/>
      </c>
      <c r="J22" s="49" t="str">
        <f t="array" aca="1" ref="J22" ca="1">IF(H22=""," ",VLOOKUP('FATURAMENTO - PROD'!H22,#REF!,2,0))</f>
        <v xml:space="preserve"> </v>
      </c>
      <c r="K22" s="35" t="str">
        <f t="array" aca="1" ref="K22" ca="1">IF(H22=""," ",VLOOKUP('FATURAMENTO - PROD'!H22,#REF!,3,0))</f>
        <v xml:space="preserve"> </v>
      </c>
    </row>
    <row r="23" spans="3:11" ht="19.5" thickBot="1" x14ac:dyDescent="0.35">
      <c r="C23" s="21"/>
      <c r="D23" s="22"/>
      <c r="E23" s="49"/>
      <c r="F23" s="35"/>
      <c r="G23" s="7"/>
      <c r="H23" s="30" t="str">
        <f ca="1"/>
        <v/>
      </c>
      <c r="I23" s="31" t="str">
        <f t="array" aca="1" ref="I23" ca="1">IF((C$72=""),"",IFERROR(INDEX(#REF!, SMALL(IF((#REF!&lt;&gt;0)*(#REF!&lt;&gt;"")*(ROW(#REF!)&gt;ROW(INDIRECT($M$2))), ROW(#REF!)-ROW(#REF!)+1), ROW()-ROW($H$10)+1)), ""))</f>
        <v/>
      </c>
      <c r="J23" s="48" t="str">
        <f t="array" aca="1" ref="J23" ca="1">IF(H23=""," ",VLOOKUP('FATURAMENTO - PROD'!H23,#REF!,2,0))</f>
        <v xml:space="preserve"> </v>
      </c>
      <c r="K23" s="33" t="str">
        <f t="array" aca="1" ref="K23" ca="1">IF(H23=""," ",VLOOKUP('FATURAMENTO - PROD'!H23,#REF!,3,0))</f>
        <v xml:space="preserve"> </v>
      </c>
    </row>
    <row r="24" spans="3:11" ht="19.5" thickBot="1" x14ac:dyDescent="0.35">
      <c r="C24" s="30"/>
      <c r="D24" s="31"/>
      <c r="E24" s="48"/>
      <c r="F24" s="33"/>
      <c r="G24" s="7"/>
      <c r="H24" s="21" t="str">
        <f ca="1"/>
        <v/>
      </c>
      <c r="I24" s="22" t="str">
        <f t="array" aca="1" ref="I24" ca="1">IF((C$72=""),"",IFERROR(INDEX(#REF!, SMALL(IF((#REF!&lt;&gt;0)*(#REF!&lt;&gt;"")*(ROW(#REF!)&gt;ROW(INDIRECT($M$2))), ROW(#REF!)-ROW(#REF!)+1), ROW()-ROW($H$10)+1)), ""))</f>
        <v/>
      </c>
      <c r="J24" s="49" t="str">
        <f t="array" aca="1" ref="J24" ca="1">IF(H24=""," ",VLOOKUP('FATURAMENTO - PROD'!H24,#REF!,2,0))</f>
        <v xml:space="preserve"> </v>
      </c>
      <c r="K24" s="35" t="str">
        <f t="array" aca="1" ref="K24" ca="1">IF(H24=""," ",VLOOKUP('FATURAMENTO - PROD'!H24,#REF!,3,0))</f>
        <v xml:space="preserve"> </v>
      </c>
    </row>
    <row r="25" spans="3:11" ht="19.5" thickBot="1" x14ac:dyDescent="0.35">
      <c r="C25" s="21"/>
      <c r="D25" s="22"/>
      <c r="E25" s="49"/>
      <c r="F25" s="35"/>
      <c r="G25" s="7"/>
      <c r="H25" s="30" t="str">
        <f ca="1"/>
        <v/>
      </c>
      <c r="I25" s="31" t="str">
        <f t="array" aca="1" ref="I25" ca="1">IF((C$72=""),"",IFERROR(INDEX(#REF!, SMALL(IF((#REF!&lt;&gt;0)*(#REF!&lt;&gt;"")*(ROW(#REF!)&gt;ROW(INDIRECT($M$2))), ROW(#REF!)-ROW(#REF!)+1), ROW()-ROW($H$10)+1)), ""))</f>
        <v/>
      </c>
      <c r="J25" s="48" t="str">
        <f t="array" aca="1" ref="J25" ca="1">IF(H25=""," ",VLOOKUP('FATURAMENTO - PROD'!H25,#REF!,2,0))</f>
        <v xml:space="preserve"> </v>
      </c>
      <c r="K25" s="33" t="str">
        <f t="array" aca="1" ref="K25" ca="1">IF(H25=""," ",VLOOKUP('FATURAMENTO - PROD'!H25,#REF!,3,0))</f>
        <v xml:space="preserve"> </v>
      </c>
    </row>
    <row r="26" spans="3:11" ht="19.5" thickBot="1" x14ac:dyDescent="0.35">
      <c r="C26" s="30"/>
      <c r="D26" s="31"/>
      <c r="E26" s="48"/>
      <c r="F26" s="33"/>
      <c r="G26" s="7"/>
      <c r="H26" s="21" t="str">
        <f ca="1"/>
        <v/>
      </c>
      <c r="I26" s="22" t="str">
        <f t="array" aca="1" ref="I26" ca="1">IF((C$72=""),"",IFERROR(INDEX(#REF!, SMALL(IF((#REF!&lt;&gt;0)*(#REF!&lt;&gt;"")*(ROW(#REF!)&gt;ROW(INDIRECT($M$2))), ROW(#REF!)-ROW(#REF!)+1), ROW()-ROW($H$10)+1)), ""))</f>
        <v/>
      </c>
      <c r="J26" s="49" t="str">
        <f t="array" aca="1" ref="J26" ca="1">IF(H26=""," ",VLOOKUP('FATURAMENTO - PROD'!H26,#REF!,2,0))</f>
        <v xml:space="preserve"> </v>
      </c>
      <c r="K26" s="35" t="str">
        <f t="array" aca="1" ref="K26" ca="1">IF(H26=""," ",VLOOKUP('FATURAMENTO - PROD'!H26,#REF!,3,0))</f>
        <v xml:space="preserve"> </v>
      </c>
    </row>
    <row r="27" spans="3:11" ht="19.5" thickBot="1" x14ac:dyDescent="0.35">
      <c r="C27" s="21"/>
      <c r="D27" s="22"/>
      <c r="E27" s="49"/>
      <c r="F27" s="35"/>
      <c r="G27" s="7"/>
      <c r="H27" s="30" t="str">
        <f ca="1"/>
        <v/>
      </c>
      <c r="I27" s="31" t="str">
        <f t="array" aca="1" ref="I27" ca="1">IF((C$72=""),"",IFERROR(INDEX(#REF!, SMALL(IF((#REF!&lt;&gt;0)*(#REF!&lt;&gt;"")*(ROW(#REF!)&gt;ROW(INDIRECT($M$2))), ROW(#REF!)-ROW(#REF!)+1), ROW()-ROW($H$10)+1)), ""))</f>
        <v/>
      </c>
      <c r="J27" s="48" t="str">
        <f t="array" aca="1" ref="J27" ca="1">IF(H27=""," ",VLOOKUP('FATURAMENTO - PROD'!H27,#REF!,2,0))</f>
        <v xml:space="preserve"> </v>
      </c>
      <c r="K27" s="33" t="str">
        <f t="array" aca="1" ref="K27" ca="1">IF(H27=""," ",VLOOKUP('FATURAMENTO - PROD'!H27,#REF!,3,0))</f>
        <v xml:space="preserve"> </v>
      </c>
    </row>
    <row r="28" spans="3:11" ht="19.5" thickBot="1" x14ac:dyDescent="0.35">
      <c r="C28" s="30"/>
      <c r="D28" s="31"/>
      <c r="E28" s="48"/>
      <c r="F28" s="33"/>
      <c r="G28" s="7"/>
      <c r="H28" s="21" t="str">
        <f ca="1"/>
        <v/>
      </c>
      <c r="I28" s="22" t="str">
        <f t="array" aca="1" ref="I28" ca="1">IF((C$72=""),"",IFERROR(INDEX(#REF!, SMALL(IF((#REF!&lt;&gt;0)*(#REF!&lt;&gt;"")*(ROW(#REF!)&gt;ROW(INDIRECT($M$2))), ROW(#REF!)-ROW(#REF!)+1), ROW()-ROW($H$10)+1)), ""))</f>
        <v/>
      </c>
      <c r="J28" s="49" t="str">
        <f t="array" aca="1" ref="J28" ca="1">IF(H28=""," ",VLOOKUP('FATURAMENTO - PROD'!H28,#REF!,2,0))</f>
        <v xml:space="preserve"> </v>
      </c>
      <c r="K28" s="35" t="str">
        <f t="array" aca="1" ref="K28" ca="1">IF(H28=""," ",VLOOKUP('FATURAMENTO - PROD'!H28,#REF!,3,0))</f>
        <v xml:space="preserve"> </v>
      </c>
    </row>
    <row r="29" spans="3:11" ht="19.5" thickBot="1" x14ac:dyDescent="0.35">
      <c r="C29" s="21"/>
      <c r="D29" s="22"/>
      <c r="E29" s="49"/>
      <c r="F29" s="35"/>
      <c r="G29" s="7"/>
      <c r="H29" s="30" t="str">
        <f ca="1"/>
        <v/>
      </c>
      <c r="I29" s="31" t="str">
        <f t="array" aca="1" ref="I29" ca="1">IF((C$72=""),"",IFERROR(INDEX(#REF!, SMALL(IF((#REF!&lt;&gt;0)*(#REF!&lt;&gt;"")*(ROW(#REF!)&gt;ROW(INDIRECT($M$2))), ROW(#REF!)-ROW(#REF!)+1), ROW()-ROW($H$10)+1)), ""))</f>
        <v/>
      </c>
      <c r="J29" s="48" t="str">
        <f t="array" aca="1" ref="J29" ca="1">IF(H29=""," ",VLOOKUP('FATURAMENTO - PROD'!H29,#REF!,2,0))</f>
        <v xml:space="preserve"> </v>
      </c>
      <c r="K29" s="33" t="str">
        <f t="array" aca="1" ref="K29" ca="1">IF(H29=""," ",VLOOKUP('FATURAMENTO - PROD'!H29,#REF!,3,0))</f>
        <v xml:space="preserve"> </v>
      </c>
    </row>
    <row r="30" spans="3:11" ht="19.5" thickBot="1" x14ac:dyDescent="0.35">
      <c r="C30" s="30"/>
      <c r="D30" s="31"/>
      <c r="E30" s="48"/>
      <c r="F30" s="33"/>
      <c r="G30" s="7"/>
      <c r="H30" s="21" t="str">
        <f ca="1"/>
        <v/>
      </c>
      <c r="I30" s="22" t="str">
        <f t="array" aca="1" ref="I30" ca="1">IF((C$72=""),"",IFERROR(INDEX(#REF!, SMALL(IF((#REF!&lt;&gt;0)*(#REF!&lt;&gt;"")*(ROW(#REF!)&gt;ROW(INDIRECT($M$2))), ROW(#REF!)-ROW(#REF!)+1), ROW()-ROW($H$10)+1)), ""))</f>
        <v/>
      </c>
      <c r="J30" s="49" t="str">
        <f t="array" aca="1" ref="J30" ca="1">IF(H30=""," ",VLOOKUP('FATURAMENTO - PROD'!H30,#REF!,2,0))</f>
        <v xml:space="preserve"> </v>
      </c>
      <c r="K30" s="35" t="str">
        <f t="array" aca="1" ref="K30" ca="1">IF(H30=""," ",VLOOKUP('FATURAMENTO - PROD'!H30,#REF!,3,0))</f>
        <v xml:space="preserve"> </v>
      </c>
    </row>
    <row r="31" spans="3:11" ht="19.5" thickBot="1" x14ac:dyDescent="0.35">
      <c r="C31" s="21"/>
      <c r="D31" s="22"/>
      <c r="E31" s="49"/>
      <c r="F31" s="35"/>
      <c r="G31" s="7"/>
      <c r="H31" s="30" t="str">
        <f ca="1"/>
        <v/>
      </c>
      <c r="I31" s="31" t="str">
        <f t="array" aca="1" ref="I31" ca="1">IF((C$72=""),"",IFERROR(INDEX(#REF!, SMALL(IF((#REF!&lt;&gt;0)*(#REF!&lt;&gt;"")*(ROW(#REF!)&gt;ROW(INDIRECT($M$2))), ROW(#REF!)-ROW(#REF!)+1), ROW()-ROW($H$10)+1)), ""))</f>
        <v/>
      </c>
      <c r="J31" s="48" t="str">
        <f t="array" aca="1" ref="J31" ca="1">IF(H31=""," ",VLOOKUP('FATURAMENTO - PROD'!H31,#REF!,2,0))</f>
        <v xml:space="preserve"> </v>
      </c>
      <c r="K31" s="33" t="str">
        <f t="array" aca="1" ref="K31" ca="1">IF(H31=""," ",VLOOKUP('FATURAMENTO - PROD'!H31,#REF!,3,0))</f>
        <v xml:space="preserve"> </v>
      </c>
    </row>
    <row r="32" spans="3:11" ht="19.5" thickBot="1" x14ac:dyDescent="0.35">
      <c r="C32" s="30"/>
      <c r="D32" s="31"/>
      <c r="E32" s="48"/>
      <c r="F32" s="33"/>
      <c r="G32" s="7"/>
      <c r="H32" s="21" t="str">
        <f ca="1"/>
        <v/>
      </c>
      <c r="I32" s="22" t="str">
        <f t="array" aca="1" ref="I32" ca="1">IF((C$72=""),"",IFERROR(INDEX(#REF!, SMALL(IF((#REF!&lt;&gt;0)*(#REF!&lt;&gt;"")*(ROW(#REF!)&gt;ROW(INDIRECT($M$2))), ROW(#REF!)-ROW(#REF!)+1), ROW()-ROW($H$10)+1)), ""))</f>
        <v/>
      </c>
      <c r="J32" s="49" t="str">
        <f t="array" aca="1" ref="J32" ca="1">IF(H32=""," ",VLOOKUP('FATURAMENTO - PROD'!H32,#REF!,2,0))</f>
        <v xml:space="preserve"> </v>
      </c>
      <c r="K32" s="35" t="str">
        <f t="array" aca="1" ref="K32" ca="1">IF(H32=""," ",VLOOKUP('FATURAMENTO - PROD'!H32,#REF!,3,0))</f>
        <v xml:space="preserve"> </v>
      </c>
    </row>
    <row r="33" spans="3:11" ht="19.5" thickBot="1" x14ac:dyDescent="0.35">
      <c r="C33" s="21"/>
      <c r="D33" s="22"/>
      <c r="E33" s="49"/>
      <c r="F33" s="35"/>
      <c r="G33" s="7"/>
      <c r="H33" s="30" t="str">
        <f ca="1"/>
        <v/>
      </c>
      <c r="I33" s="31" t="str">
        <f t="array" aca="1" ref="I33" ca="1">IF((C$72=""),"",IFERROR(INDEX(#REF!, SMALL(IF((#REF!&lt;&gt;0)*(#REF!&lt;&gt;"")*(ROW(#REF!)&gt;ROW(INDIRECT($M$2))), ROW(#REF!)-ROW(#REF!)+1), ROW()-ROW($H$10)+1)), ""))</f>
        <v/>
      </c>
      <c r="J33" s="48" t="str">
        <f t="array" aca="1" ref="J33" ca="1">IF(H33=""," ",VLOOKUP('FATURAMENTO - PROD'!H33,#REF!,2,0))</f>
        <v xml:space="preserve"> </v>
      </c>
      <c r="K33" s="33" t="str">
        <f t="array" aca="1" ref="K33" ca="1">IF(H33=""," ",VLOOKUP('FATURAMENTO - PROD'!H33,#REF!,3,0))</f>
        <v xml:space="preserve"> </v>
      </c>
    </row>
    <row r="34" spans="3:11" ht="19.5" thickBot="1" x14ac:dyDescent="0.35">
      <c r="C34" s="30"/>
      <c r="D34" s="31"/>
      <c r="E34" s="48"/>
      <c r="F34" s="33"/>
      <c r="G34" s="7"/>
      <c r="H34" s="21" t="str">
        <f ca="1"/>
        <v/>
      </c>
      <c r="I34" s="22" t="str">
        <f t="array" aca="1" ref="I34" ca="1">IF((C$72=""),"",IFERROR(INDEX(#REF!, SMALL(IF((#REF!&lt;&gt;0)*(#REF!&lt;&gt;"")*(ROW(#REF!)&gt;ROW(INDIRECT($M$2))), ROW(#REF!)-ROW(#REF!)+1), ROW()-ROW($H$10)+1)), ""))</f>
        <v/>
      </c>
      <c r="J34" s="49" t="str">
        <f t="array" aca="1" ref="J34" ca="1">IF(H34=""," ",VLOOKUP('FATURAMENTO - PROD'!H34,#REF!,2,0))</f>
        <v xml:space="preserve"> </v>
      </c>
      <c r="K34" s="35" t="str">
        <f t="array" aca="1" ref="K34" ca="1">IF(H34=""," ",VLOOKUP('FATURAMENTO - PROD'!H34,#REF!,3,0))</f>
        <v xml:space="preserve"> </v>
      </c>
    </row>
    <row r="35" spans="3:11" ht="19.5" thickBot="1" x14ac:dyDescent="0.35">
      <c r="C35" s="21"/>
      <c r="D35" s="22"/>
      <c r="E35" s="49"/>
      <c r="F35" s="35"/>
      <c r="G35" s="7"/>
      <c r="H35" s="30" t="str">
        <f ca="1"/>
        <v/>
      </c>
      <c r="I35" s="31" t="str">
        <f t="array" aca="1" ref="I35" ca="1">IF((C$72=""),"",IFERROR(INDEX(#REF!, SMALL(IF((#REF!&lt;&gt;0)*(#REF!&lt;&gt;"")*(ROW(#REF!)&gt;ROW(INDIRECT($M$2))), ROW(#REF!)-ROW(#REF!)+1), ROW()-ROW($H$10)+1)), ""))</f>
        <v/>
      </c>
      <c r="J35" s="48" t="str">
        <f t="array" aca="1" ref="J35" ca="1">IF(H35=""," ",VLOOKUP('FATURAMENTO - PROD'!H35,#REF!,2,0))</f>
        <v xml:space="preserve"> </v>
      </c>
      <c r="K35" s="33" t="str">
        <f t="array" aca="1" ref="K35" ca="1">IF(H35=""," ",VLOOKUP('FATURAMENTO - PROD'!H35,#REF!,3,0))</f>
        <v xml:space="preserve"> </v>
      </c>
    </row>
    <row r="36" spans="3:11" ht="19.5" thickBot="1" x14ac:dyDescent="0.35">
      <c r="C36" s="30"/>
      <c r="D36" s="31"/>
      <c r="E36" s="48"/>
      <c r="F36" s="33"/>
      <c r="G36" s="7"/>
      <c r="H36" s="21" t="str">
        <f ca="1"/>
        <v/>
      </c>
      <c r="I36" s="22" t="str">
        <f t="array" aca="1" ref="I36" ca="1">IF((C$72=""),"",IFERROR(INDEX(#REF!, SMALL(IF((#REF!&lt;&gt;0)*(#REF!&lt;&gt;"")*(ROW(#REF!)&gt;ROW(INDIRECT($M$2))), ROW(#REF!)-ROW(#REF!)+1), ROW()-ROW($H$10)+1)), ""))</f>
        <v/>
      </c>
      <c r="J36" s="49" t="str">
        <f t="array" aca="1" ref="J36" ca="1">IF(H36=""," ",VLOOKUP('FATURAMENTO - PROD'!H36,#REF!,2,0))</f>
        <v xml:space="preserve"> </v>
      </c>
      <c r="K36" s="35" t="str">
        <f t="array" aca="1" ref="K36" ca="1">IF(H36=""," ",VLOOKUP('FATURAMENTO - PROD'!H36,#REF!,3,0))</f>
        <v xml:space="preserve"> </v>
      </c>
    </row>
    <row r="37" spans="3:11" ht="19.5" thickBot="1" x14ac:dyDescent="0.35">
      <c r="C37" s="21"/>
      <c r="D37" s="22"/>
      <c r="E37" s="49"/>
      <c r="F37" s="35"/>
      <c r="G37" s="7"/>
      <c r="H37" s="30" t="str">
        <f ca="1"/>
        <v/>
      </c>
      <c r="I37" s="31" t="str">
        <f t="array" aca="1" ref="I37" ca="1">IF((C$72=""),"",IFERROR(INDEX(#REF!, SMALL(IF((#REF!&lt;&gt;0)*(#REF!&lt;&gt;"")*(ROW(#REF!)&gt;ROW(INDIRECT($M$2))), ROW(#REF!)-ROW(#REF!)+1), ROW()-ROW($H$10)+1)), ""))</f>
        <v/>
      </c>
      <c r="J37" s="48" t="str">
        <f t="array" aca="1" ref="J37" ca="1">IF(H37=""," ",VLOOKUP('FATURAMENTO - PROD'!H37,#REF!,2,0))</f>
        <v xml:space="preserve"> </v>
      </c>
      <c r="K37" s="33" t="str">
        <f t="array" aca="1" ref="K37" ca="1">IF(H37=""," ",VLOOKUP('FATURAMENTO - PROD'!H37,#REF!,3,0))</f>
        <v xml:space="preserve"> </v>
      </c>
    </row>
    <row r="38" spans="3:11" ht="19.5" thickBot="1" x14ac:dyDescent="0.35">
      <c r="C38" s="30"/>
      <c r="D38" s="31"/>
      <c r="E38" s="48"/>
      <c r="F38" s="33"/>
      <c r="G38" s="7"/>
      <c r="H38" s="21" t="str">
        <f ca="1"/>
        <v/>
      </c>
      <c r="I38" s="22" t="str">
        <f t="array" aca="1" ref="I38" ca="1">IF((C$72=""),"",IFERROR(INDEX(#REF!, SMALL(IF((#REF!&lt;&gt;0)*(#REF!&lt;&gt;"")*(ROW(#REF!)&gt;ROW(INDIRECT($M$2))), ROW(#REF!)-ROW(#REF!)+1), ROW()-ROW($H$10)+1)), ""))</f>
        <v/>
      </c>
      <c r="J38" s="49" t="str">
        <f t="array" aca="1" ref="J38" ca="1">IF(H38=""," ",VLOOKUP('FATURAMENTO - PROD'!H38,#REF!,2,0))</f>
        <v xml:space="preserve"> </v>
      </c>
      <c r="K38" s="35" t="str">
        <f t="array" aca="1" ref="K38" ca="1">IF(H38=""," ",VLOOKUP('FATURAMENTO - PROD'!H38,#REF!,3,0))</f>
        <v xml:space="preserve"> </v>
      </c>
    </row>
    <row r="39" spans="3:11" ht="19.5" thickBot="1" x14ac:dyDescent="0.35">
      <c r="C39" s="21"/>
      <c r="D39" s="22"/>
      <c r="E39" s="49"/>
      <c r="F39" s="35"/>
      <c r="G39" s="7"/>
      <c r="H39" s="30" t="str">
        <f ca="1"/>
        <v/>
      </c>
      <c r="I39" s="31" t="str">
        <f t="array" aca="1" ref="I39" ca="1">IF((C$72=""),"",IFERROR(INDEX(#REF!, SMALL(IF((#REF!&lt;&gt;0)*(#REF!&lt;&gt;"")*(ROW(#REF!)&gt;ROW(INDIRECT($M$2))), ROW(#REF!)-ROW(#REF!)+1), ROW()-ROW($H$10)+1)), ""))</f>
        <v/>
      </c>
      <c r="J39" s="48" t="str">
        <f t="array" aca="1" ref="J39" ca="1">IF(H39=""," ",VLOOKUP('FATURAMENTO - PROD'!H39,#REF!,2,0))</f>
        <v xml:space="preserve"> </v>
      </c>
      <c r="K39" s="33" t="str">
        <f t="array" aca="1" ref="K39" ca="1">IF(H39=""," ",VLOOKUP('FATURAMENTO - PROD'!H39,#REF!,3,0))</f>
        <v xml:space="preserve"> </v>
      </c>
    </row>
    <row r="40" spans="3:11" ht="19.5" thickBot="1" x14ac:dyDescent="0.35">
      <c r="C40" s="30"/>
      <c r="D40" s="31"/>
      <c r="E40" s="48"/>
      <c r="F40" s="33"/>
      <c r="G40" s="7"/>
      <c r="H40" s="21" t="str">
        <f ca="1"/>
        <v/>
      </c>
      <c r="I40" s="22" t="str">
        <f t="array" aca="1" ref="I40" ca="1">IF((C$72=""),"",IFERROR(INDEX(#REF!, SMALL(IF((#REF!&lt;&gt;0)*(#REF!&lt;&gt;"")*(ROW(#REF!)&gt;ROW(INDIRECT($M$2))), ROW(#REF!)-ROW(#REF!)+1), ROW()-ROW($H$10)+1)), ""))</f>
        <v/>
      </c>
      <c r="J40" s="49" t="str">
        <f t="array" aca="1" ref="J40" ca="1">IF(H40=""," ",VLOOKUP('FATURAMENTO - PROD'!H40,#REF!,2,0))</f>
        <v xml:space="preserve"> </v>
      </c>
      <c r="K40" s="35" t="str">
        <f t="array" aca="1" ref="K40" ca="1">IF(H40=""," ",VLOOKUP('FATURAMENTO - PROD'!H40,#REF!,3,0))</f>
        <v xml:space="preserve"> </v>
      </c>
    </row>
    <row r="41" spans="3:11" ht="19.5" thickBot="1" x14ac:dyDescent="0.35">
      <c r="C41" s="21"/>
      <c r="D41" s="22"/>
      <c r="E41" s="49"/>
      <c r="F41" s="35"/>
      <c r="G41" s="7"/>
      <c r="H41" s="30" t="str">
        <f ca="1"/>
        <v/>
      </c>
      <c r="I41" s="31" t="str">
        <f t="array" aca="1" ref="I41" ca="1">IF((C$72=""),"",IFERROR(INDEX(#REF!, SMALL(IF((#REF!&lt;&gt;0)*(#REF!&lt;&gt;"")*(ROW(#REF!)&gt;ROW(INDIRECT($M$2))), ROW(#REF!)-ROW(#REF!)+1), ROW()-ROW($H$10)+1)), ""))</f>
        <v/>
      </c>
      <c r="J41" s="48" t="str">
        <f t="array" aca="1" ref="J41" ca="1">IF(H41=""," ",VLOOKUP('FATURAMENTO - PROD'!H41,#REF!,2,0))</f>
        <v xml:space="preserve"> </v>
      </c>
      <c r="K41" s="33" t="str">
        <f t="array" aca="1" ref="K41" ca="1">IF(H41=""," ",VLOOKUP('FATURAMENTO - PROD'!H41,#REF!,3,0))</f>
        <v xml:space="preserve"> </v>
      </c>
    </row>
    <row r="42" spans="3:11" ht="19.5" thickBot="1" x14ac:dyDescent="0.35">
      <c r="C42" s="30"/>
      <c r="D42" s="31"/>
      <c r="E42" s="48"/>
      <c r="F42" s="33"/>
      <c r="G42" s="7"/>
      <c r="H42" s="21" t="str">
        <f ca="1"/>
        <v/>
      </c>
      <c r="I42" s="22" t="str">
        <f t="array" aca="1" ref="I42" ca="1">IF((C$72=""),"",IFERROR(INDEX(#REF!, SMALL(IF((#REF!&lt;&gt;0)*(#REF!&lt;&gt;"")*(ROW(#REF!)&gt;ROW(INDIRECT($M$2))), ROW(#REF!)-ROW(#REF!)+1), ROW()-ROW($H$10)+1)), ""))</f>
        <v/>
      </c>
      <c r="J42" s="49" t="str">
        <f t="array" aca="1" ref="J42" ca="1">IF(H42=""," ",VLOOKUP('FATURAMENTO - PROD'!H42,#REF!,2,0))</f>
        <v xml:space="preserve"> </v>
      </c>
      <c r="K42" s="35" t="str">
        <f t="array" aca="1" ref="K42" ca="1">IF(H42=""," ",VLOOKUP('FATURAMENTO - PROD'!H42,#REF!,3,0))</f>
        <v xml:space="preserve"> </v>
      </c>
    </row>
    <row r="43" spans="3:11" ht="19.5" thickBot="1" x14ac:dyDescent="0.35">
      <c r="C43" s="21"/>
      <c r="D43" s="22"/>
      <c r="E43" s="49"/>
      <c r="F43" s="35"/>
      <c r="G43" s="7"/>
      <c r="H43" s="30" t="str">
        <f ca="1"/>
        <v/>
      </c>
      <c r="I43" s="31" t="str">
        <f t="array" aca="1" ref="I43" ca="1">IF((C$72=""),"",IFERROR(INDEX(#REF!, SMALL(IF((#REF!&lt;&gt;0)*(#REF!&lt;&gt;"")*(ROW(#REF!)&gt;ROW(INDIRECT($M$2))), ROW(#REF!)-ROW(#REF!)+1), ROW()-ROW($H$10)+1)), ""))</f>
        <v/>
      </c>
      <c r="J43" s="48" t="str">
        <f t="array" aca="1" ref="J43" ca="1">IF(H43=""," ",VLOOKUP('FATURAMENTO - PROD'!H43,#REF!,2,0))</f>
        <v xml:space="preserve"> </v>
      </c>
      <c r="K43" s="33" t="str">
        <f t="array" aca="1" ref="K43" ca="1">IF(H43=""," ",VLOOKUP('FATURAMENTO - PROD'!H43,#REF!,3,0))</f>
        <v xml:space="preserve"> </v>
      </c>
    </row>
    <row r="44" spans="3:11" ht="19.5" thickBot="1" x14ac:dyDescent="0.35">
      <c r="C44" s="30"/>
      <c r="D44" s="31"/>
      <c r="E44" s="48"/>
      <c r="F44" s="33"/>
      <c r="G44" s="7"/>
      <c r="H44" s="21" t="str">
        <f ca="1"/>
        <v/>
      </c>
      <c r="I44" s="22" t="str">
        <f t="array" aca="1" ref="I44" ca="1">IF((C$72=""),"",IFERROR(INDEX(#REF!, SMALL(IF((#REF!&lt;&gt;0)*(#REF!&lt;&gt;"")*(ROW(#REF!)&gt;ROW(INDIRECT($M$2))), ROW(#REF!)-ROW(#REF!)+1), ROW()-ROW($H$10)+1)), ""))</f>
        <v/>
      </c>
      <c r="J44" s="49" t="str">
        <f t="array" aca="1" ref="J44" ca="1">IF(H44=""," ",VLOOKUP('FATURAMENTO - PROD'!H44,#REF!,2,0))</f>
        <v xml:space="preserve"> </v>
      </c>
      <c r="K44" s="35" t="str">
        <f t="array" aca="1" ref="K44" ca="1">IF(H44=""," ",VLOOKUP('FATURAMENTO - PROD'!H44,#REF!,3,0))</f>
        <v xml:space="preserve"> </v>
      </c>
    </row>
    <row r="45" spans="3:11" ht="19.5" thickBot="1" x14ac:dyDescent="0.35">
      <c r="C45" s="21"/>
      <c r="D45" s="22"/>
      <c r="E45" s="49"/>
      <c r="F45" s="35"/>
      <c r="G45" s="7"/>
      <c r="H45" s="30" t="str">
        <f ca="1"/>
        <v/>
      </c>
      <c r="I45" s="31" t="str">
        <f t="array" aca="1" ref="I45" ca="1">IF((C$72=""),"",IFERROR(INDEX(#REF!, SMALL(IF((#REF!&lt;&gt;0)*(#REF!&lt;&gt;"")*(ROW(#REF!)&gt;ROW(INDIRECT($M$2))), ROW(#REF!)-ROW(#REF!)+1), ROW()-ROW($H$10)+1)), ""))</f>
        <v/>
      </c>
      <c r="J45" s="48" t="str">
        <f t="array" aca="1" ref="J45" ca="1">IF(H45=""," ",VLOOKUP('FATURAMENTO - PROD'!H45,#REF!,2,0))</f>
        <v xml:space="preserve"> </v>
      </c>
      <c r="K45" s="33" t="str">
        <f t="array" aca="1" ref="K45" ca="1">IF(H45=""," ",VLOOKUP('FATURAMENTO - PROD'!H45,#REF!,3,0))</f>
        <v xml:space="preserve"> </v>
      </c>
    </row>
    <row r="46" spans="3:11" ht="19.5" thickBot="1" x14ac:dyDescent="0.35">
      <c r="C46" s="30"/>
      <c r="D46" s="31"/>
      <c r="E46" s="48"/>
      <c r="F46" s="33"/>
      <c r="G46" s="7"/>
      <c r="H46" s="21" t="str">
        <f ca="1"/>
        <v/>
      </c>
      <c r="I46" s="22" t="str">
        <f t="array" aca="1" ref="I46" ca="1">IF((C$72=""),"",IFERROR(INDEX(#REF!, SMALL(IF((#REF!&lt;&gt;0)*(#REF!&lt;&gt;"")*(ROW(#REF!)&gt;ROW(INDIRECT($M$2))), ROW(#REF!)-ROW(#REF!)+1), ROW()-ROW($H$10)+1)), ""))</f>
        <v/>
      </c>
      <c r="J46" s="49" t="str">
        <f t="array" aca="1" ref="J46" ca="1">IF(H46=""," ",VLOOKUP('FATURAMENTO - PROD'!H46,#REF!,2,0))</f>
        <v xml:space="preserve"> </v>
      </c>
      <c r="K46" s="35" t="str">
        <f t="array" aca="1" ref="K46" ca="1">IF(H46=""," ",VLOOKUP('FATURAMENTO - PROD'!H46,#REF!,3,0))</f>
        <v xml:space="preserve"> </v>
      </c>
    </row>
    <row r="47" spans="3:11" ht="19.5" thickBot="1" x14ac:dyDescent="0.35">
      <c r="C47" s="21"/>
      <c r="D47" s="22"/>
      <c r="E47" s="49"/>
      <c r="F47" s="35"/>
      <c r="G47" s="7"/>
      <c r="H47" s="30" t="str">
        <f ca="1"/>
        <v/>
      </c>
      <c r="I47" s="31" t="str">
        <f t="array" aca="1" ref="I47" ca="1">IF((C$72=""),"",IFERROR(INDEX(#REF!, SMALL(IF((#REF!&lt;&gt;0)*(#REF!&lt;&gt;"")*(ROW(#REF!)&gt;ROW(INDIRECT($M$2))), ROW(#REF!)-ROW(#REF!)+1), ROW()-ROW($H$10)+1)), ""))</f>
        <v/>
      </c>
      <c r="J47" s="48" t="str">
        <f t="array" aca="1" ref="J47" ca="1">IF(H47=""," ",VLOOKUP('FATURAMENTO - PROD'!H47,#REF!,2,0))</f>
        <v xml:space="preserve"> </v>
      </c>
      <c r="K47" s="33" t="str">
        <f t="array" aca="1" ref="K47" ca="1">IF(H47=""," ",VLOOKUP('FATURAMENTO - PROD'!H47,#REF!,3,0))</f>
        <v xml:space="preserve"> </v>
      </c>
    </row>
    <row r="48" spans="3:11" ht="19.5" thickBot="1" x14ac:dyDescent="0.35">
      <c r="C48" s="30"/>
      <c r="D48" s="31"/>
      <c r="E48" s="48"/>
      <c r="F48" s="33"/>
      <c r="G48" s="7"/>
      <c r="H48" s="21" t="str">
        <f ca="1"/>
        <v/>
      </c>
      <c r="I48" s="22" t="str">
        <f t="array" aca="1" ref="I48" ca="1">IF((C$72=""),"",IFERROR(INDEX(#REF!, SMALL(IF((#REF!&lt;&gt;0)*(#REF!&lt;&gt;"")*(ROW(#REF!)&gt;ROW(INDIRECT($M$2))), ROW(#REF!)-ROW(#REF!)+1), ROW()-ROW($H$10)+1)), ""))</f>
        <v/>
      </c>
      <c r="J48" s="49" t="str">
        <f t="array" aca="1" ref="J48" ca="1">IF(H48=""," ",VLOOKUP('FATURAMENTO - PROD'!H48,#REF!,2,0))</f>
        <v xml:space="preserve"> </v>
      </c>
      <c r="K48" s="35" t="str">
        <f t="array" aca="1" ref="K48" ca="1">IF(H48=""," ",VLOOKUP('FATURAMENTO - PROD'!H48,#REF!,3,0))</f>
        <v xml:space="preserve"> </v>
      </c>
    </row>
    <row r="49" spans="3:11" ht="19.5" thickBot="1" x14ac:dyDescent="0.35">
      <c r="C49" s="21"/>
      <c r="D49" s="22"/>
      <c r="E49" s="49"/>
      <c r="F49" s="35"/>
      <c r="G49" s="7"/>
      <c r="H49" s="30" t="str">
        <f ca="1"/>
        <v/>
      </c>
      <c r="I49" s="31" t="str">
        <f t="array" aca="1" ref="I49" ca="1">IF((C$72=""),"",IFERROR(INDEX(#REF!, SMALL(IF((#REF!&lt;&gt;0)*(#REF!&lt;&gt;"")*(ROW(#REF!)&gt;ROW(INDIRECT($M$2))), ROW(#REF!)-ROW(#REF!)+1), ROW()-ROW($H$10)+1)), ""))</f>
        <v/>
      </c>
      <c r="J49" s="48" t="str">
        <f t="array" aca="1" ref="J49" ca="1">IF(H49=""," ",VLOOKUP('FATURAMENTO - PROD'!H49,#REF!,2,0))</f>
        <v xml:space="preserve"> </v>
      </c>
      <c r="K49" s="33" t="str">
        <f t="array" aca="1" ref="K49" ca="1">IF(H49=""," ",VLOOKUP('FATURAMENTO - PROD'!H49,#REF!,3,0))</f>
        <v xml:space="preserve"> </v>
      </c>
    </row>
    <row r="50" spans="3:11" ht="19.5" thickBot="1" x14ac:dyDescent="0.35">
      <c r="C50" s="30"/>
      <c r="D50" s="31"/>
      <c r="E50" s="48"/>
      <c r="F50" s="33"/>
      <c r="G50" s="7"/>
      <c r="H50" s="21" t="str">
        <f ca="1"/>
        <v/>
      </c>
      <c r="I50" s="22" t="str">
        <f t="array" aca="1" ref="I50" ca="1">IF((C$72=""),"",IFERROR(INDEX(#REF!, SMALL(IF((#REF!&lt;&gt;0)*(#REF!&lt;&gt;"")*(ROW(#REF!)&gt;ROW(INDIRECT($M$2))), ROW(#REF!)-ROW(#REF!)+1), ROW()-ROW($H$10)+1)), ""))</f>
        <v/>
      </c>
      <c r="J50" s="49" t="str">
        <f t="array" aca="1" ref="J50" ca="1">IF(H50=""," ",VLOOKUP('FATURAMENTO - PROD'!H50,#REF!,2,0))</f>
        <v xml:space="preserve"> </v>
      </c>
      <c r="K50" s="35" t="str">
        <f t="array" aca="1" ref="K50" ca="1">IF(H50=""," ",VLOOKUP('FATURAMENTO - PROD'!H50,#REF!,3,0))</f>
        <v xml:space="preserve"> </v>
      </c>
    </row>
    <row r="51" spans="3:11" ht="19.5" thickBot="1" x14ac:dyDescent="0.35">
      <c r="C51" s="21"/>
      <c r="D51" s="22"/>
      <c r="E51" s="49"/>
      <c r="F51" s="35"/>
      <c r="G51" s="7"/>
      <c r="H51" s="30" t="str">
        <f ca="1"/>
        <v/>
      </c>
      <c r="I51" s="31" t="str">
        <f t="array" aca="1" ref="I51" ca="1">IF((C$72=""),"",IFERROR(INDEX(#REF!, SMALL(IF((#REF!&lt;&gt;0)*(#REF!&lt;&gt;"")*(ROW(#REF!)&gt;ROW(INDIRECT($M$2))), ROW(#REF!)-ROW(#REF!)+1), ROW()-ROW($H$10)+1)), ""))</f>
        <v/>
      </c>
      <c r="J51" s="48" t="str">
        <f t="array" aca="1" ref="J51" ca="1">IF(H51=""," ",VLOOKUP('FATURAMENTO - PROD'!H51,#REF!,2,0))</f>
        <v xml:space="preserve"> </v>
      </c>
      <c r="K51" s="33" t="str">
        <f t="array" aca="1" ref="K51" ca="1">IF(H51=""," ",VLOOKUP('FATURAMENTO - PROD'!H51,#REF!,3,0))</f>
        <v xml:space="preserve"> </v>
      </c>
    </row>
    <row r="52" spans="3:11" ht="19.5" thickBot="1" x14ac:dyDescent="0.35">
      <c r="C52" s="30"/>
      <c r="D52" s="31"/>
      <c r="E52" s="48"/>
      <c r="F52" s="33"/>
      <c r="G52" s="7"/>
      <c r="H52" s="21" t="str">
        <f ca="1"/>
        <v/>
      </c>
      <c r="I52" s="22" t="str">
        <f t="array" aca="1" ref="I52" ca="1">IF((C$72=""),"",IFERROR(INDEX(#REF!, SMALL(IF((#REF!&lt;&gt;0)*(#REF!&lt;&gt;"")*(ROW(#REF!)&gt;ROW(INDIRECT($M$2))), ROW(#REF!)-ROW(#REF!)+1), ROW()-ROW($H$10)+1)), ""))</f>
        <v/>
      </c>
      <c r="J52" s="49" t="str">
        <f t="array" aca="1" ref="J52" ca="1">IF(H52=""," ",VLOOKUP('FATURAMENTO - PROD'!H52,#REF!,2,0))</f>
        <v xml:space="preserve"> </v>
      </c>
      <c r="K52" s="35" t="str">
        <f t="array" aca="1" ref="K52" ca="1">IF(H52=""," ",VLOOKUP('FATURAMENTO - PROD'!H52,#REF!,3,0))</f>
        <v xml:space="preserve"> </v>
      </c>
    </row>
    <row r="53" spans="3:11" ht="19.5" thickBot="1" x14ac:dyDescent="0.35">
      <c r="C53" s="21"/>
      <c r="D53" s="22"/>
      <c r="E53" s="49"/>
      <c r="F53" s="35"/>
      <c r="G53" s="7"/>
      <c r="H53" s="30" t="str">
        <f ca="1"/>
        <v/>
      </c>
      <c r="I53" s="31" t="str">
        <f t="array" aca="1" ref="I53" ca="1">IF((C$72=""),"",IFERROR(INDEX(#REF!, SMALL(IF((#REF!&lt;&gt;0)*(#REF!&lt;&gt;"")*(ROW(#REF!)&gt;ROW(INDIRECT($M$2))), ROW(#REF!)-ROW(#REF!)+1), ROW()-ROW($H$10)+1)), ""))</f>
        <v/>
      </c>
      <c r="J53" s="48" t="str">
        <f t="array" aca="1" ref="J53" ca="1">IF(H53=""," ",VLOOKUP('FATURAMENTO - PROD'!H53,#REF!,2,0))</f>
        <v xml:space="preserve"> </v>
      </c>
      <c r="K53" s="33" t="str">
        <f t="array" aca="1" ref="K53" ca="1">IF(H53=""," ",VLOOKUP('FATURAMENTO - PROD'!H53,#REF!,3,0))</f>
        <v xml:space="preserve"> </v>
      </c>
    </row>
    <row r="54" spans="3:11" ht="19.5" thickBot="1" x14ac:dyDescent="0.35">
      <c r="C54" s="30"/>
      <c r="D54" s="31"/>
      <c r="E54" s="48"/>
      <c r="F54" s="33"/>
      <c r="G54" s="7"/>
      <c r="H54" s="21" t="str">
        <f ca="1"/>
        <v/>
      </c>
      <c r="I54" s="22" t="str">
        <f t="array" aca="1" ref="I54" ca="1">IF((C$72=""),"",IFERROR(INDEX(#REF!, SMALL(IF((#REF!&lt;&gt;0)*(#REF!&lt;&gt;"")*(ROW(#REF!)&gt;ROW(INDIRECT($M$2))), ROW(#REF!)-ROW(#REF!)+1), ROW()-ROW($H$10)+1)), ""))</f>
        <v/>
      </c>
      <c r="J54" s="49" t="str">
        <f t="array" aca="1" ref="J54" ca="1">IF(H54=""," ",VLOOKUP('FATURAMENTO - PROD'!H54,#REF!,2,0))</f>
        <v xml:space="preserve"> </v>
      </c>
      <c r="K54" s="35" t="str">
        <f t="array" aca="1" ref="K54" ca="1">IF(H54=""," ",VLOOKUP('FATURAMENTO - PROD'!H54,#REF!,3,0))</f>
        <v xml:space="preserve"> </v>
      </c>
    </row>
    <row r="55" spans="3:11" ht="19.5" thickBot="1" x14ac:dyDescent="0.35">
      <c r="C55" s="21"/>
      <c r="D55" s="22"/>
      <c r="E55" s="49"/>
      <c r="F55" s="35"/>
      <c r="G55" s="7"/>
      <c r="H55" s="30" t="str">
        <f ca="1"/>
        <v/>
      </c>
      <c r="I55" s="31" t="str">
        <f t="array" aca="1" ref="I55" ca="1">IF((C$72=""),"",IFERROR(INDEX(#REF!, SMALL(IF((#REF!&lt;&gt;0)*(#REF!&lt;&gt;"")*(ROW(#REF!)&gt;ROW(INDIRECT($M$2))), ROW(#REF!)-ROW(#REF!)+1), ROW()-ROW($H$10)+1)), ""))</f>
        <v/>
      </c>
      <c r="J55" s="48" t="str">
        <f t="array" aca="1" ref="J55" ca="1">IF(H55=""," ",VLOOKUP('FATURAMENTO - PROD'!H55,#REF!,2,0))</f>
        <v xml:space="preserve"> </v>
      </c>
      <c r="K55" s="33" t="str">
        <f t="array" aca="1" ref="K55" ca="1">IF(H55=""," ",VLOOKUP('FATURAMENTO - PROD'!H55,#REF!,3,0))</f>
        <v xml:space="preserve"> </v>
      </c>
    </row>
    <row r="56" spans="3:11" ht="19.5" thickBot="1" x14ac:dyDescent="0.35">
      <c r="C56" s="30"/>
      <c r="D56" s="31"/>
      <c r="E56" s="48"/>
      <c r="F56" s="33"/>
      <c r="G56" s="7"/>
      <c r="H56" s="21" t="str">
        <f ca="1"/>
        <v/>
      </c>
      <c r="I56" s="22" t="str">
        <f t="array" aca="1" ref="I56" ca="1">IF((C$72=""),"",IFERROR(INDEX(#REF!, SMALL(IF((#REF!&lt;&gt;0)*(#REF!&lt;&gt;"")*(ROW(#REF!)&gt;ROW(INDIRECT($M$2))), ROW(#REF!)-ROW(#REF!)+1), ROW()-ROW($H$10)+1)), ""))</f>
        <v/>
      </c>
      <c r="J56" s="49" t="str">
        <f t="array" aca="1" ref="J56" ca="1">IF(H56=""," ",VLOOKUP('FATURAMENTO - PROD'!H56,#REF!,2,0))</f>
        <v xml:space="preserve"> </v>
      </c>
      <c r="K56" s="35" t="str">
        <f t="array" aca="1" ref="K56" ca="1">IF(H56=""," ",VLOOKUP('FATURAMENTO - PROD'!H56,#REF!,3,0))</f>
        <v xml:space="preserve"> </v>
      </c>
    </row>
    <row r="57" spans="3:11" ht="19.5" thickBot="1" x14ac:dyDescent="0.35">
      <c r="C57" s="21"/>
      <c r="D57" s="22"/>
      <c r="E57" s="49"/>
      <c r="F57" s="35"/>
      <c r="G57" s="7"/>
      <c r="H57" s="30" t="str">
        <f ca="1"/>
        <v/>
      </c>
      <c r="I57" s="31" t="str">
        <f t="array" aca="1" ref="I57" ca="1">IF((C$72=""),"",IFERROR(INDEX(#REF!, SMALL(IF((#REF!&lt;&gt;0)*(#REF!&lt;&gt;"")*(ROW(#REF!)&gt;ROW(INDIRECT($M$2))), ROW(#REF!)-ROW(#REF!)+1), ROW()-ROW($H$10)+1)), ""))</f>
        <v/>
      </c>
      <c r="J57" s="48" t="str">
        <f t="array" aca="1" ref="J57" ca="1">IF(H57=""," ",VLOOKUP('FATURAMENTO - PROD'!H57,#REF!,2,0))</f>
        <v xml:space="preserve"> </v>
      </c>
      <c r="K57" s="33" t="str">
        <f t="array" aca="1" ref="K57" ca="1">IF(H57=""," ",VLOOKUP('FATURAMENTO - PROD'!H57,#REF!,3,0))</f>
        <v xml:space="preserve"> </v>
      </c>
    </row>
    <row r="58" spans="3:11" ht="19.5" thickBot="1" x14ac:dyDescent="0.35">
      <c r="C58" s="30"/>
      <c r="D58" s="31"/>
      <c r="E58" s="48"/>
      <c r="F58" s="33"/>
      <c r="G58" s="7"/>
      <c r="H58" s="21" t="str">
        <f ca="1"/>
        <v/>
      </c>
      <c r="I58" s="22" t="str">
        <f t="array" aca="1" ref="I58" ca="1">IF((C$72=""),"",IFERROR(INDEX(#REF!, SMALL(IF((#REF!&lt;&gt;0)*(#REF!&lt;&gt;"")*(ROW(#REF!)&gt;ROW(INDIRECT($M$2))), ROW(#REF!)-ROW(#REF!)+1), ROW()-ROW($H$10)+1)), ""))</f>
        <v/>
      </c>
      <c r="J58" s="49" t="str">
        <f t="array" aca="1" ref="J58" ca="1">IF(H58=""," ",VLOOKUP('FATURAMENTO - PROD'!H58,#REF!,2,0))</f>
        <v xml:space="preserve"> </v>
      </c>
      <c r="K58" s="35" t="str">
        <f t="array" aca="1" ref="K58" ca="1">IF(H58=""," ",VLOOKUP('FATURAMENTO - PROD'!H58,#REF!,3,0))</f>
        <v xml:space="preserve"> </v>
      </c>
    </row>
    <row r="59" spans="3:11" ht="19.5" thickBot="1" x14ac:dyDescent="0.35">
      <c r="C59" s="21"/>
      <c r="D59" s="22"/>
      <c r="E59" s="49"/>
      <c r="F59" s="35"/>
      <c r="G59" s="7"/>
      <c r="H59" s="30" t="str">
        <f ca="1"/>
        <v/>
      </c>
      <c r="I59" s="31" t="str">
        <f t="array" aca="1" ref="I59" ca="1">IF((C$72=""),"",IFERROR(INDEX(#REF!, SMALL(IF((#REF!&lt;&gt;0)*(#REF!&lt;&gt;"")*(ROW(#REF!)&gt;ROW(INDIRECT($M$2))), ROW(#REF!)-ROW(#REF!)+1), ROW()-ROW($H$10)+1)), ""))</f>
        <v/>
      </c>
      <c r="J59" s="48" t="str">
        <f t="array" aca="1" ref="J59" ca="1">IF(H59=""," ",VLOOKUP('FATURAMENTO - PROD'!H59,#REF!,2,0))</f>
        <v xml:space="preserve"> </v>
      </c>
      <c r="K59" s="33" t="str">
        <f t="array" aca="1" ref="K59" ca="1">IF(H59=""," ",VLOOKUP('FATURAMENTO - PROD'!H59,#REF!,3,0))</f>
        <v xml:space="preserve"> </v>
      </c>
    </row>
    <row r="60" spans="3:11" ht="19.5" thickBot="1" x14ac:dyDescent="0.35">
      <c r="C60" s="30"/>
      <c r="D60" s="31"/>
      <c r="E60" s="48"/>
      <c r="F60" s="33"/>
      <c r="G60" s="7"/>
      <c r="H60" s="21" t="str">
        <f ca="1"/>
        <v/>
      </c>
      <c r="I60" s="22" t="str">
        <f t="array" aca="1" ref="I60" ca="1">IF((C$72=""),"",IFERROR(INDEX(#REF!, SMALL(IF((#REF!&lt;&gt;0)*(#REF!&lt;&gt;"")*(ROW(#REF!)&gt;ROW(INDIRECT($M$2))), ROW(#REF!)-ROW(#REF!)+1), ROW()-ROW($H$10)+1)), ""))</f>
        <v/>
      </c>
      <c r="J60" s="49" t="str">
        <f t="array" aca="1" ref="J60" ca="1">IF(H60=""," ",VLOOKUP('FATURAMENTO - PROD'!H60,#REF!,2,0))</f>
        <v xml:space="preserve"> </v>
      </c>
      <c r="K60" s="35" t="str">
        <f t="array" aca="1" ref="K60" ca="1">IF(H60=""," ",VLOOKUP('FATURAMENTO - PROD'!H60,#REF!,3,0))</f>
        <v xml:space="preserve"> </v>
      </c>
    </row>
    <row r="61" spans="3:11" ht="19.5" thickBot="1" x14ac:dyDescent="0.35">
      <c r="C61" s="21"/>
      <c r="D61" s="22"/>
      <c r="E61" s="49"/>
      <c r="F61" s="35"/>
      <c r="G61" s="7"/>
      <c r="H61" s="30" t="str">
        <f ca="1"/>
        <v/>
      </c>
      <c r="I61" s="31" t="str">
        <f t="array" aca="1" ref="I61" ca="1">IF((C$72=""),"",IFERROR(INDEX(#REF!, SMALL(IF((#REF!&lt;&gt;0)*(#REF!&lt;&gt;"")*(ROW(#REF!)&gt;ROW(INDIRECT($M$2))), ROW(#REF!)-ROW(#REF!)+1), ROW()-ROW($H$10)+1)), ""))</f>
        <v/>
      </c>
      <c r="J61" s="48" t="str">
        <f t="array" aca="1" ref="J61" ca="1">IF(H61=""," ",VLOOKUP('FATURAMENTO - PROD'!H61,#REF!,2,0))</f>
        <v xml:space="preserve"> </v>
      </c>
      <c r="K61" s="33" t="str">
        <f t="array" aca="1" ref="K61" ca="1">IF(H61=""," ",VLOOKUP('FATURAMENTO - PROD'!H61,#REF!,3,0))</f>
        <v xml:space="preserve"> </v>
      </c>
    </row>
    <row r="62" spans="3:11" ht="19.5" thickBot="1" x14ac:dyDescent="0.35">
      <c r="C62" s="30"/>
      <c r="D62" s="31"/>
      <c r="E62" s="48"/>
      <c r="F62" s="33"/>
      <c r="G62" s="7"/>
      <c r="H62" s="21" t="str">
        <f ca="1"/>
        <v/>
      </c>
      <c r="I62" s="22" t="str">
        <f t="array" aca="1" ref="I62" ca="1">IF((C$72=""),"",IFERROR(INDEX(#REF!, SMALL(IF((#REF!&lt;&gt;0)*(#REF!&lt;&gt;"")*(ROW(#REF!)&gt;ROW(INDIRECT($M$2))), ROW(#REF!)-ROW(#REF!)+1), ROW()-ROW($H$10)+1)), ""))</f>
        <v/>
      </c>
      <c r="J62" s="49" t="str">
        <f t="array" aca="1" ref="J62" ca="1">IF(H62=""," ",VLOOKUP('FATURAMENTO - PROD'!H62,#REF!,2,0))</f>
        <v xml:space="preserve"> </v>
      </c>
      <c r="K62" s="35" t="str">
        <f t="array" aca="1" ref="K62" ca="1">IF(H62=""," ",VLOOKUP('FATURAMENTO - PROD'!H62,#REF!,3,0))</f>
        <v xml:space="preserve"> </v>
      </c>
    </row>
    <row r="63" spans="3:11" ht="19.5" thickBot="1" x14ac:dyDescent="0.35">
      <c r="C63" s="21"/>
      <c r="D63" s="22"/>
      <c r="E63" s="49"/>
      <c r="F63" s="35"/>
      <c r="G63" s="7"/>
      <c r="H63" s="30" t="str">
        <f ca="1"/>
        <v/>
      </c>
      <c r="I63" s="31" t="str">
        <f t="array" aca="1" ref="I63" ca="1">IF((C$72=""),"",IFERROR(INDEX(#REF!, SMALL(IF((#REF!&lt;&gt;0)*(#REF!&lt;&gt;"")*(ROW(#REF!)&gt;ROW(INDIRECT($M$2))), ROW(#REF!)-ROW(#REF!)+1), ROW()-ROW($H$10)+1)), ""))</f>
        <v/>
      </c>
      <c r="J63" s="48" t="str">
        <f t="array" aca="1" ref="J63" ca="1">IF(H63=""," ",VLOOKUP('FATURAMENTO - PROD'!H63,#REF!,2,0))</f>
        <v xml:space="preserve"> </v>
      </c>
      <c r="K63" s="33" t="str">
        <f t="array" aca="1" ref="K63" ca="1">IF(H63=""," ",VLOOKUP('FATURAMENTO - PROD'!H63,#REF!,3,0))</f>
        <v xml:space="preserve"> </v>
      </c>
    </row>
    <row r="64" spans="3:11" ht="19.5" thickBot="1" x14ac:dyDescent="0.35">
      <c r="C64" s="30"/>
      <c r="D64" s="31"/>
      <c r="E64" s="48"/>
      <c r="F64" s="33"/>
      <c r="G64" s="7"/>
      <c r="H64" s="21" t="str">
        <f ca="1"/>
        <v/>
      </c>
      <c r="I64" s="22" t="str">
        <f t="array" aca="1" ref="I64" ca="1">IF((C$72=""),"",IFERROR(INDEX(#REF!, SMALL(IF((#REF!&lt;&gt;0)*(#REF!&lt;&gt;"")*(ROW(#REF!)&gt;ROW(INDIRECT($M$2))), ROW(#REF!)-ROW(#REF!)+1), ROW()-ROW($H$10)+1)), ""))</f>
        <v/>
      </c>
      <c r="J64" s="49" t="str">
        <f t="array" aca="1" ref="J64" ca="1">IF(H64=""," ",VLOOKUP('FATURAMENTO - PROD'!H64,#REF!,2,0))</f>
        <v xml:space="preserve"> </v>
      </c>
      <c r="K64" s="35" t="str">
        <f t="array" aca="1" ref="K64" ca="1">IF(H64=""," ",VLOOKUP('FATURAMENTO - PROD'!H64,#REF!,3,0))</f>
        <v xml:space="preserve"> </v>
      </c>
    </row>
    <row r="65" spans="3:11" ht="19.5" thickBot="1" x14ac:dyDescent="0.35">
      <c r="C65" s="21"/>
      <c r="D65" s="22"/>
      <c r="E65" s="49"/>
      <c r="F65" s="35"/>
      <c r="G65" s="7"/>
      <c r="H65" s="30" t="str">
        <f ca="1"/>
        <v/>
      </c>
      <c r="I65" s="31" t="str">
        <f t="array" aca="1" ref="I65" ca="1">IF((C$72=""),"",IFERROR(INDEX(#REF!, SMALL(IF((#REF!&lt;&gt;0)*(#REF!&lt;&gt;"")*(ROW(#REF!)&gt;ROW(INDIRECT($M$2))), ROW(#REF!)-ROW(#REF!)+1), ROW()-ROW($H$10)+1)), ""))</f>
        <v/>
      </c>
      <c r="J65" s="48" t="str">
        <f t="array" aca="1" ref="J65" ca="1">IF(H65=""," ",VLOOKUP('FATURAMENTO - PROD'!H65,#REF!,2,0))</f>
        <v xml:space="preserve"> </v>
      </c>
      <c r="K65" s="33" t="str">
        <f t="array" aca="1" ref="K65" ca="1">IF(H65=""," ",VLOOKUP('FATURAMENTO - PROD'!H65,#REF!,3,0))</f>
        <v xml:space="preserve"> </v>
      </c>
    </row>
    <row r="66" spans="3:11" ht="19.5" thickBot="1" x14ac:dyDescent="0.35">
      <c r="C66" s="30"/>
      <c r="D66" s="31"/>
      <c r="E66" s="48"/>
      <c r="F66" s="33"/>
      <c r="G66" s="7"/>
      <c r="H66" s="21" t="str">
        <f ca="1"/>
        <v/>
      </c>
      <c r="I66" s="22" t="str">
        <f t="array" aca="1" ref="I66" ca="1">IF((C$72=""),"",IFERROR(INDEX(#REF!, SMALL(IF((#REF!&lt;&gt;0)*(#REF!&lt;&gt;"")*(ROW(#REF!)&gt;ROW(INDIRECT($M$2))), ROW(#REF!)-ROW(#REF!)+1), ROW()-ROW($H$10)+1)), ""))</f>
        <v/>
      </c>
      <c r="J66" s="49" t="str">
        <f t="array" aca="1" ref="J66" ca="1">IF(H66=""," ",VLOOKUP('FATURAMENTO - PROD'!H66,#REF!,2,0))</f>
        <v xml:space="preserve"> </v>
      </c>
      <c r="K66" s="35" t="str">
        <f t="array" aca="1" ref="K66" ca="1">IF(H66=""," ",VLOOKUP('FATURAMENTO - PROD'!H66,#REF!,3,0))</f>
        <v xml:space="preserve"> </v>
      </c>
    </row>
    <row r="67" spans="3:11" ht="19.5" thickBot="1" x14ac:dyDescent="0.35">
      <c r="C67" s="21"/>
      <c r="D67" s="22"/>
      <c r="E67" s="49"/>
      <c r="F67" s="35"/>
      <c r="G67" s="7"/>
      <c r="H67" s="30" t="str">
        <f ca="1"/>
        <v/>
      </c>
      <c r="I67" s="31" t="str">
        <f t="array" aca="1" ref="I67" ca="1">IF((C$72=""),"",IFERROR(INDEX(#REF!, SMALL(IF((#REF!&lt;&gt;0)*(#REF!&lt;&gt;"")*(ROW(#REF!)&gt;ROW(INDIRECT($M$2))), ROW(#REF!)-ROW(#REF!)+1), ROW()-ROW($H$10)+1)), ""))</f>
        <v/>
      </c>
      <c r="J67" s="48" t="str">
        <f t="array" aca="1" ref="J67" ca="1">IF(H67=""," ",VLOOKUP('FATURAMENTO - PROD'!H67,#REF!,2,0))</f>
        <v xml:space="preserve"> </v>
      </c>
      <c r="K67" s="33" t="str">
        <f t="array" aca="1" ref="K67" ca="1">IF(H67=""," ",VLOOKUP('FATURAMENTO - PROD'!H67,#REF!,3,0))</f>
        <v xml:space="preserve"> </v>
      </c>
    </row>
    <row r="68" spans="3:11" ht="19.5" thickBot="1" x14ac:dyDescent="0.35">
      <c r="C68" s="30"/>
      <c r="D68" s="31"/>
      <c r="E68" s="48"/>
      <c r="F68" s="33"/>
      <c r="G68" s="29"/>
      <c r="H68" s="21" t="str">
        <f ca="1"/>
        <v/>
      </c>
      <c r="I68" s="22" t="str">
        <f t="array" aca="1" ref="I68" ca="1">IF((C$72=""),"",IFERROR(INDEX(#REF!, SMALL(IF((#REF!&lt;&gt;0)*(#REF!&lt;&gt;"")*(ROW(#REF!)&gt;ROW(INDIRECT($M$2))), ROW(#REF!)-ROW(#REF!)+1), ROW()-ROW($H$10)+1)), ""))</f>
        <v/>
      </c>
      <c r="J68" s="49" t="str">
        <f t="array" aca="1" ref="J68" ca="1">IF(H68=""," ",VLOOKUP('FATURAMENTO - PROD'!H68,#REF!,2,0))</f>
        <v xml:space="preserve"> </v>
      </c>
      <c r="K68" s="35" t="str">
        <f t="array" aca="1" ref="K68" ca="1">IF(H68=""," ",VLOOKUP('FATURAMENTO - PROD'!H68,#REF!,3,0))</f>
        <v xml:space="preserve"> </v>
      </c>
    </row>
    <row r="69" spans="3:11" ht="19.5" thickBot="1" x14ac:dyDescent="0.35">
      <c r="C69" s="21"/>
      <c r="D69" s="22"/>
      <c r="E69" s="49"/>
      <c r="F69" s="35"/>
      <c r="G69" s="38"/>
      <c r="H69" s="31" t="str">
        <f ca="1"/>
        <v/>
      </c>
      <c r="I69" s="31" t="str">
        <f t="array" aca="1" ref="I69" ca="1">IF((C$72=""),"",IFERROR(INDEX(#REF!, SMALL(IF((#REF!&lt;&gt;0)*(#REF!&lt;&gt;"")*(ROW(#REF!)&gt;ROW(INDIRECT($M$2))), ROW(#REF!)-ROW(#REF!)+1), ROW()-ROW($H$10)+1)), ""))</f>
        <v/>
      </c>
      <c r="J69" s="48" t="str">
        <f t="array" aca="1" ref="J69" ca="1">IF(H69=""," ",VLOOKUP('FATURAMENTO - PROD'!H69,#REF!,2,0))</f>
        <v xml:space="preserve"> </v>
      </c>
      <c r="K69" s="33" t="str">
        <f t="array" aca="1" ref="K69" ca="1">IF(H69=""," ",VLOOKUP('FATURAMENTO - PROD'!H69,#REF!,3,0))</f>
        <v xml:space="preserve"> </v>
      </c>
    </row>
    <row r="70" spans="3:11" ht="19.5" thickBot="1" x14ac:dyDescent="0.35">
      <c r="C70" s="30"/>
      <c r="D70" s="31"/>
      <c r="E70" s="48"/>
      <c r="F70" s="33"/>
      <c r="G70" s="38"/>
      <c r="H70" s="22" t="str">
        <f ca="1"/>
        <v/>
      </c>
      <c r="I70" s="22" t="str">
        <f t="array" aca="1" ref="I70" ca="1">IF((C$72=""),"",IFERROR(INDEX(#REF!, SMALL(IF((#REF!&lt;&gt;0)*(#REF!&lt;&gt;"")*(ROW(#REF!)&gt;ROW(INDIRECT($M$2))), ROW(#REF!)-ROW(#REF!)+1), ROW()-ROW($H$10)+1)), ""))</f>
        <v/>
      </c>
      <c r="J70" s="49" t="str">
        <f t="array" aca="1" ref="J70" ca="1">IF(H70=""," ",VLOOKUP('FATURAMENTO - PROD'!H70,#REF!,2,0))</f>
        <v xml:space="preserve"> </v>
      </c>
      <c r="K70" s="35" t="str">
        <f t="array" aca="1" ref="K70" ca="1">IF(H70=""," ",VLOOKUP('FATURAMENTO - PROD'!H70,#REF!,3,0))</f>
        <v xml:space="preserve"> </v>
      </c>
    </row>
    <row r="71" spans="3:11" ht="19.5" thickBot="1" x14ac:dyDescent="0.35">
      <c r="C71" s="21"/>
      <c r="D71" s="22"/>
      <c r="E71" s="49"/>
      <c r="F71" s="35"/>
      <c r="G71" s="38"/>
      <c r="H71" s="31" t="str">
        <f ca="1"/>
        <v/>
      </c>
      <c r="I71" s="31" t="str">
        <f t="array" aca="1" ref="I71" ca="1">IF((C$72=""),"",IFERROR(INDEX(#REF!, SMALL(IF((#REF!&lt;&gt;0)*(#REF!&lt;&gt;"")*(ROW(#REF!)&gt;ROW(INDIRECT($M$2))), ROW(#REF!)-ROW(#REF!)+1), ROW()-ROW($H$10)+1)), ""))</f>
        <v/>
      </c>
      <c r="J71" s="48" t="str">
        <f t="array" aca="1" ref="J71" ca="1">IF(H71=""," ",VLOOKUP('FATURAMENTO - PROD'!H71,#REF!,2,0))</f>
        <v xml:space="preserve"> </v>
      </c>
      <c r="K71" s="33" t="str">
        <f t="array" aca="1" ref="K71" ca="1">IF(H71=""," ",VLOOKUP('FATURAMENTO - PROD'!H71,#REF!,3,0))</f>
        <v xml:space="preserve"> </v>
      </c>
    </row>
    <row r="72" spans="3:11" ht="19.5" thickBot="1" x14ac:dyDescent="0.35">
      <c r="C72" s="30"/>
      <c r="D72" s="31"/>
      <c r="E72" s="48"/>
      <c r="F72" s="33"/>
      <c r="G72" s="38"/>
      <c r="H72" s="22" t="str">
        <f ca="1"/>
        <v/>
      </c>
      <c r="I72" s="22" t="str">
        <f t="array" aca="1" ref="I72" ca="1">IF((C$72=""),"",IFERROR(INDEX(#REF!, SMALL(IF((#REF!&lt;&gt;0)*(#REF!&lt;&gt;"")*(ROW(#REF!)&gt;ROW(INDIRECT($M$2))), ROW(#REF!)-ROW(#REF!)+1), ROW()-ROW($H$10)+1)), ""))</f>
        <v/>
      </c>
      <c r="J72" s="49" t="str">
        <f t="array" aca="1" ref="J72" ca="1">IF(H72=""," ",VLOOKUP('FATURAMENTO - PROD'!H72,#REF!,2,0))</f>
        <v xml:space="preserve"> </v>
      </c>
      <c r="K72" s="35" t="str">
        <f t="array" aca="1" ref="K72" ca="1">IF(H72=""," ",VLOOKUP('FATURAMENTO - PROD'!H72,#REF!,3,0))</f>
        <v xml:space="preserve"> </v>
      </c>
    </row>
    <row r="73" spans="3:11" ht="18.75" x14ac:dyDescent="0.3">
      <c r="C73" s="26"/>
      <c r="D73" s="26"/>
      <c r="E73" s="27"/>
      <c r="F73" s="28"/>
      <c r="G73" s="2"/>
      <c r="H73" s="26" t="str">
        <f ca="1"/>
        <v/>
      </c>
      <c r="I73" s="26" t="str">
        <f t="array" aca="1" ref="I73" ca="1">IF((C$68=""),"",IFERROR(INDEX(#REF!, SMALL(IF((#REF!&lt;&gt;0)*(#REF!&lt;&gt;"")*(ROW(#REF!)&gt;ROW(INDIRECT($N$10))), ROW(#REF!)-ROW(#REF!)+1), ROW()-ROW($H$10)+1)), ""))</f>
        <v/>
      </c>
      <c r="J73" s="27" t="str">
        <f t="array" aca="1" ref="J73" ca="1">IF(H73=""," ",VLOOKUP('FATURAMENTO - PROD'!H73,#REF!,2,0))</f>
        <v xml:space="preserve"> </v>
      </c>
      <c r="K73" s="28" t="str">
        <f t="array" aca="1" ref="K73" ca="1">IF(H73=""," ",VLOOKUP('FATURAMENTO - PROD'!H73,#REF!,3,0))</f>
        <v xml:space="preserve"> </v>
      </c>
    </row>
    <row r="74" spans="3:11" ht="18.75" x14ac:dyDescent="0.3">
      <c r="C74" s="26"/>
      <c r="D74" s="26"/>
      <c r="E74" s="27"/>
      <c r="F74" s="28"/>
      <c r="H74" s="26"/>
      <c r="I74" s="26" t="str">
        <f t="array" aca="1" ref="I74" ca="1">IF((C$68=""),"",IFERROR(INDEX(#REF!, SMALL(IF((#REF!&lt;&gt;0)*(#REF!&lt;&gt;"")*(ROW(#REF!)&gt;ROW(INDIRECT($N$10))), ROW(#REF!)-ROW(#REF!)+1), ROW()-ROW($H$10)+1)), ""))</f>
        <v/>
      </c>
      <c r="J74" s="27" t="str">
        <f t="array" ref="J74">IF(H74=""," ",VLOOKUP('FATURAMENTO - PROD'!H74,#REF!,2,0))</f>
        <v xml:space="preserve"> </v>
      </c>
      <c r="K74" s="28" t="str">
        <f t="array" ref="K74">IF(H74=""," ",VLOOKUP('FATURAMENTO - PROD'!H74,#REF!,3,0))</f>
        <v xml:space="preserve"> </v>
      </c>
    </row>
    <row r="75" spans="3:11" ht="18.75" x14ac:dyDescent="0.3">
      <c r="C75" s="26"/>
      <c r="D75" s="26"/>
      <c r="E75" s="27"/>
      <c r="F75" s="28"/>
      <c r="H75" s="26"/>
      <c r="I75" s="26" t="str">
        <f t="array" aca="1" ref="I75" ca="1">IF((C$68=""),"",IFERROR(INDEX(#REF!, SMALL(IF((#REF!&lt;&gt;0)*(#REF!&lt;&gt;"")*(ROW(#REF!)&gt;ROW(INDIRECT($N$10))), ROW(#REF!)-ROW(#REF!)+1), ROW()-ROW($H$10)+1)), ""))</f>
        <v/>
      </c>
      <c r="J75" s="27" t="str">
        <f t="array" ref="J75">IF(H75=""," ",VLOOKUP('FATURAMENTO - PROD'!H75,#REF!,2,0))</f>
        <v xml:space="preserve"> </v>
      </c>
      <c r="K75" s="28" t="str">
        <f t="array" ref="K75">IF(H75=""," ",VLOOKUP('FATURAMENTO - PROD'!H75,#REF!,3,0))</f>
        <v xml:space="preserve"> </v>
      </c>
    </row>
  </sheetData>
  <mergeCells count="8">
    <mergeCell ref="M9:R15"/>
    <mergeCell ref="C2:K6"/>
    <mergeCell ref="D7:F7"/>
    <mergeCell ref="I7:K7"/>
    <mergeCell ref="C8:D8"/>
    <mergeCell ref="E8:F8"/>
    <mergeCell ref="H8:I8"/>
    <mergeCell ref="J8:K8"/>
  </mergeCells>
  <conditionalFormatting sqref="C10:F72">
    <cfRule type="expression" dxfId="6" priority="1">
      <formula>$C10=30999</formula>
    </cfRule>
    <cfRule type="expression" dxfId="5" priority="2">
      <formula>$C10=30998</formula>
    </cfRule>
    <cfRule type="expression" dxfId="4" priority="3">
      <formula>$C10=41629</formula>
    </cfRule>
    <cfRule type="expression" dxfId="3" priority="4">
      <formula>$C10=41665</formula>
    </cfRule>
  </conditionalFormatting>
  <pageMargins left="0.27559055118110237" right="0.23622047244094491" top="0.19685039370078741" bottom="0" header="0" footer="0"/>
  <pageSetup paperSize="9" firstPageNumber="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B05BA-A2B5-4A4A-8780-7C8BF552FDEF}">
  <sheetPr codeName="Planilha5">
    <tabColor rgb="FF92D050"/>
    <pageSetUpPr fitToPage="1"/>
  </sheetPr>
  <dimension ref="B1:R75"/>
  <sheetViews>
    <sheetView showGridLines="0" showRowColHeaders="0" zoomScale="85" zoomScaleNormal="85" workbookViewId="0">
      <selection sqref="A1:XFD1048576"/>
    </sheetView>
  </sheetViews>
  <sheetFormatPr defaultColWidth="8.7109375" defaultRowHeight="15" x14ac:dyDescent="0.25"/>
  <cols>
    <col min="1" max="1" width="2" customWidth="1"/>
    <col min="2" max="2" width="2.140625" customWidth="1"/>
    <col min="3" max="3" width="9.42578125" customWidth="1"/>
    <col min="4" max="4" width="8.5703125" customWidth="1"/>
    <col min="5" max="5" width="40.7109375" customWidth="1"/>
    <col min="6" max="6" width="13.42578125" customWidth="1"/>
    <col min="7" max="7" width="1.28515625" customWidth="1"/>
    <col min="8" max="8" width="9.42578125" bestFit="1" customWidth="1"/>
    <col min="9" max="9" width="7.28515625" customWidth="1"/>
    <col min="10" max="10" width="40.7109375" customWidth="1"/>
    <col min="11" max="11" width="13.28515625" customWidth="1"/>
    <col min="12" max="12" width="0.7109375" customWidth="1"/>
    <col min="13" max="13" width="8.7109375" customWidth="1"/>
  </cols>
  <sheetData>
    <row r="1" spans="2:18" ht="7.5" customHeight="1" thickBot="1" x14ac:dyDescent="0.3"/>
    <row r="2" spans="2:18" ht="15" customHeight="1" x14ac:dyDescent="0.25">
      <c r="B2" s="1"/>
      <c r="C2" s="79" t="s">
        <v>10</v>
      </c>
      <c r="D2" s="60"/>
      <c r="E2" s="60"/>
      <c r="F2" s="60"/>
      <c r="G2" s="60"/>
      <c r="H2" s="60"/>
      <c r="I2" s="60"/>
      <c r="J2" s="60"/>
      <c r="K2" s="61"/>
      <c r="M2" s="36"/>
    </row>
    <row r="3" spans="2:18" ht="15" customHeight="1" x14ac:dyDescent="0.25">
      <c r="B3" s="1"/>
      <c r="C3" s="62"/>
      <c r="D3" s="63"/>
      <c r="E3" s="63"/>
      <c r="F3" s="63"/>
      <c r="G3" s="63"/>
      <c r="H3" s="63"/>
      <c r="I3" s="63"/>
      <c r="J3" s="63"/>
      <c r="K3" s="64"/>
    </row>
    <row r="4" spans="2:18" ht="17.25" customHeight="1" x14ac:dyDescent="0.25">
      <c r="B4" s="1"/>
      <c r="C4" s="62"/>
      <c r="D4" s="63"/>
      <c r="E4" s="63"/>
      <c r="F4" s="63"/>
      <c r="G4" s="63"/>
      <c r="H4" s="63"/>
      <c r="I4" s="63"/>
      <c r="J4" s="63"/>
      <c r="K4" s="64"/>
    </row>
    <row r="5" spans="2:18" ht="17.25" customHeight="1" x14ac:dyDescent="0.25">
      <c r="B5" s="1"/>
      <c r="C5" s="62"/>
      <c r="D5" s="63"/>
      <c r="E5" s="63"/>
      <c r="F5" s="63"/>
      <c r="G5" s="63"/>
      <c r="H5" s="63"/>
      <c r="I5" s="63"/>
      <c r="J5" s="63"/>
      <c r="K5" s="64"/>
    </row>
    <row r="6" spans="2:18" ht="7.5" customHeight="1" thickBot="1" x14ac:dyDescent="0.3">
      <c r="C6" s="62"/>
      <c r="D6" s="63"/>
      <c r="E6" s="63"/>
      <c r="F6" s="63"/>
      <c r="G6" s="65"/>
      <c r="H6" s="65"/>
      <c r="I6" s="65"/>
      <c r="J6" s="65"/>
      <c r="K6" s="66"/>
    </row>
    <row r="7" spans="2:18" ht="24.75" customHeight="1" thickBot="1" x14ac:dyDescent="0.3">
      <c r="C7" s="15" t="s">
        <v>8</v>
      </c>
      <c r="D7" s="67"/>
      <c r="E7" s="67"/>
      <c r="F7" s="68"/>
      <c r="G7" s="13"/>
      <c r="H7" s="15" t="s">
        <v>7</v>
      </c>
      <c r="I7" s="69"/>
      <c r="J7" s="69"/>
      <c r="K7" s="70"/>
    </row>
    <row r="8" spans="2:18" ht="26.25" customHeight="1" thickBot="1" x14ac:dyDescent="0.3">
      <c r="C8" s="71" t="s">
        <v>5</v>
      </c>
      <c r="D8" s="72"/>
      <c r="E8" s="73"/>
      <c r="F8" s="74"/>
      <c r="G8" s="13"/>
      <c r="H8" s="75" t="s">
        <v>3</v>
      </c>
      <c r="I8" s="76"/>
      <c r="J8" s="77"/>
      <c r="K8" s="78"/>
    </row>
    <row r="9" spans="2:18" ht="14.25" customHeight="1" thickBot="1" x14ac:dyDescent="0.3">
      <c r="B9" s="1"/>
      <c r="C9" s="10" t="s">
        <v>0</v>
      </c>
      <c r="D9" s="11" t="s">
        <v>6</v>
      </c>
      <c r="E9" s="11" t="s">
        <v>1</v>
      </c>
      <c r="F9" s="12" t="s">
        <v>4</v>
      </c>
      <c r="G9" s="7"/>
      <c r="H9" s="6" t="s">
        <v>0</v>
      </c>
      <c r="I9" s="4" t="s">
        <v>6</v>
      </c>
      <c r="J9" s="11" t="s">
        <v>1</v>
      </c>
      <c r="K9" s="5" t="s">
        <v>4</v>
      </c>
      <c r="M9" s="50"/>
      <c r="N9" s="51"/>
      <c r="O9" s="51"/>
      <c r="P9" s="51"/>
      <c r="Q9" s="51"/>
      <c r="R9" s="52"/>
    </row>
    <row r="10" spans="2:18" ht="19.5" thickBot="1" x14ac:dyDescent="0.35">
      <c r="C10" s="30"/>
      <c r="D10" s="31"/>
      <c r="E10" s="48"/>
      <c r="F10" s="33"/>
      <c r="G10" s="7"/>
      <c r="H10" s="21"/>
      <c r="I10" s="22"/>
      <c r="J10" s="34"/>
      <c r="K10" s="35"/>
      <c r="M10" s="53"/>
      <c r="N10" s="54"/>
      <c r="O10" s="54"/>
      <c r="P10" s="54"/>
      <c r="Q10" s="54"/>
      <c r="R10" s="55"/>
    </row>
    <row r="11" spans="2:18" ht="19.5" thickBot="1" x14ac:dyDescent="0.35">
      <c r="C11" s="21"/>
      <c r="D11" s="22"/>
      <c r="E11" s="49"/>
      <c r="F11" s="35"/>
      <c r="G11" s="7"/>
      <c r="H11" s="30"/>
      <c r="I11" s="31"/>
      <c r="J11" s="32"/>
      <c r="K11" s="33"/>
      <c r="M11" s="53"/>
      <c r="N11" s="54"/>
      <c r="O11" s="54"/>
      <c r="P11" s="54"/>
      <c r="Q11" s="54"/>
      <c r="R11" s="55"/>
    </row>
    <row r="12" spans="2:18" ht="19.5" thickBot="1" x14ac:dyDescent="0.35">
      <c r="C12" s="30"/>
      <c r="D12" s="31"/>
      <c r="E12" s="48"/>
      <c r="F12" s="33"/>
      <c r="G12" s="7"/>
      <c r="H12" s="21"/>
      <c r="I12" s="22"/>
      <c r="J12" s="34"/>
      <c r="K12" s="35"/>
      <c r="M12" s="53"/>
      <c r="N12" s="54"/>
      <c r="O12" s="54"/>
      <c r="P12" s="54"/>
      <c r="Q12" s="54"/>
      <c r="R12" s="55"/>
    </row>
    <row r="13" spans="2:18" ht="19.5" thickBot="1" x14ac:dyDescent="0.35">
      <c r="C13" s="21"/>
      <c r="D13" s="22"/>
      <c r="E13" s="49"/>
      <c r="F13" s="35"/>
      <c r="G13" s="7"/>
      <c r="H13" s="30"/>
      <c r="I13" s="31"/>
      <c r="J13" s="32"/>
      <c r="K13" s="33"/>
      <c r="M13" s="53"/>
      <c r="N13" s="54"/>
      <c r="O13" s="54"/>
      <c r="P13" s="54"/>
      <c r="Q13" s="54"/>
      <c r="R13" s="55"/>
    </row>
    <row r="14" spans="2:18" ht="19.5" thickBot="1" x14ac:dyDescent="0.35">
      <c r="C14" s="30"/>
      <c r="D14" s="31"/>
      <c r="E14" s="48"/>
      <c r="F14" s="33"/>
      <c r="G14" s="7"/>
      <c r="H14" s="21"/>
      <c r="I14" s="22"/>
      <c r="J14" s="34"/>
      <c r="K14" s="35"/>
      <c r="M14" s="53"/>
      <c r="N14" s="54"/>
      <c r="O14" s="54"/>
      <c r="P14" s="54"/>
      <c r="Q14" s="54"/>
      <c r="R14" s="55"/>
    </row>
    <row r="15" spans="2:18" ht="19.5" thickBot="1" x14ac:dyDescent="0.35">
      <c r="C15" s="21"/>
      <c r="D15" s="22"/>
      <c r="E15" s="49"/>
      <c r="F15" s="35"/>
      <c r="G15" s="7"/>
      <c r="H15" s="30"/>
      <c r="I15" s="31"/>
      <c r="J15" s="32"/>
      <c r="K15" s="33"/>
      <c r="M15" s="56"/>
      <c r="N15" s="57"/>
      <c r="O15" s="57"/>
      <c r="P15" s="57"/>
      <c r="Q15" s="57"/>
      <c r="R15" s="58"/>
    </row>
    <row r="16" spans="2:18" ht="19.5" thickBot="1" x14ac:dyDescent="0.35">
      <c r="C16" s="30"/>
      <c r="D16" s="31"/>
      <c r="E16" s="48"/>
      <c r="F16" s="33"/>
      <c r="G16" s="7"/>
      <c r="H16" s="21"/>
      <c r="I16" s="22"/>
      <c r="J16" s="34"/>
      <c r="K16" s="35"/>
    </row>
    <row r="17" spans="3:11" ht="19.5" thickBot="1" x14ac:dyDescent="0.35">
      <c r="C17" s="21"/>
      <c r="D17" s="22"/>
      <c r="E17" s="49"/>
      <c r="F17" s="35"/>
      <c r="G17" s="7"/>
      <c r="H17" s="30"/>
      <c r="I17" s="31"/>
      <c r="J17" s="32"/>
      <c r="K17" s="33"/>
    </row>
    <row r="18" spans="3:11" ht="19.5" thickBot="1" x14ac:dyDescent="0.35">
      <c r="C18" s="30"/>
      <c r="D18" s="31"/>
      <c r="E18" s="48"/>
      <c r="F18" s="33"/>
      <c r="G18" s="7"/>
      <c r="H18" s="21"/>
      <c r="I18" s="22"/>
      <c r="J18" s="34"/>
      <c r="K18" s="35"/>
    </row>
    <row r="19" spans="3:11" ht="19.5" thickBot="1" x14ac:dyDescent="0.35">
      <c r="C19" s="21"/>
      <c r="D19" s="22"/>
      <c r="E19" s="49"/>
      <c r="F19" s="35"/>
      <c r="G19" s="7"/>
      <c r="H19" s="30"/>
      <c r="I19" s="31"/>
      <c r="J19" s="32"/>
      <c r="K19" s="33"/>
    </row>
    <row r="20" spans="3:11" ht="19.5" thickBot="1" x14ac:dyDescent="0.35">
      <c r="C20" s="30"/>
      <c r="D20" s="31"/>
      <c r="E20" s="48"/>
      <c r="F20" s="33"/>
      <c r="G20" s="7"/>
      <c r="H20" s="21"/>
      <c r="I20" s="22"/>
      <c r="J20" s="34"/>
      <c r="K20" s="35"/>
    </row>
    <row r="21" spans="3:11" ht="19.5" thickBot="1" x14ac:dyDescent="0.35">
      <c r="C21" s="21"/>
      <c r="D21" s="22"/>
      <c r="E21" s="49"/>
      <c r="F21" s="35"/>
      <c r="G21" s="7"/>
      <c r="H21" s="30"/>
      <c r="I21" s="31"/>
      <c r="J21" s="32"/>
      <c r="K21" s="33"/>
    </row>
    <row r="22" spans="3:11" ht="19.5" thickBot="1" x14ac:dyDescent="0.35">
      <c r="C22" s="30"/>
      <c r="D22" s="31"/>
      <c r="E22" s="48"/>
      <c r="F22" s="33"/>
      <c r="G22" s="7"/>
      <c r="H22" s="21"/>
      <c r="I22" s="22"/>
      <c r="J22" s="34"/>
      <c r="K22" s="35"/>
    </row>
    <row r="23" spans="3:11" ht="19.5" thickBot="1" x14ac:dyDescent="0.35">
      <c r="C23" s="21"/>
      <c r="D23" s="22"/>
      <c r="E23" s="49"/>
      <c r="F23" s="35"/>
      <c r="G23" s="7"/>
      <c r="H23" s="30"/>
      <c r="I23" s="31"/>
      <c r="J23" s="32"/>
      <c r="K23" s="33"/>
    </row>
    <row r="24" spans="3:11" ht="19.5" thickBot="1" x14ac:dyDescent="0.35">
      <c r="C24" s="30"/>
      <c r="D24" s="31"/>
      <c r="E24" s="48"/>
      <c r="F24" s="33"/>
      <c r="G24" s="7"/>
      <c r="H24" s="21"/>
      <c r="I24" s="22"/>
      <c r="J24" s="34"/>
      <c r="K24" s="35"/>
    </row>
    <row r="25" spans="3:11" ht="19.5" thickBot="1" x14ac:dyDescent="0.35">
      <c r="C25" s="21"/>
      <c r="D25" s="22"/>
      <c r="E25" s="49"/>
      <c r="F25" s="35"/>
      <c r="G25" s="7"/>
      <c r="H25" s="30"/>
      <c r="I25" s="31"/>
      <c r="J25" s="32"/>
      <c r="K25" s="33"/>
    </row>
    <row r="26" spans="3:11" ht="19.5" thickBot="1" x14ac:dyDescent="0.35">
      <c r="C26" s="30"/>
      <c r="D26" s="31"/>
      <c r="E26" s="48"/>
      <c r="F26" s="33"/>
      <c r="G26" s="7"/>
      <c r="H26" s="21"/>
      <c r="I26" s="22"/>
      <c r="J26" s="34"/>
      <c r="K26" s="35"/>
    </row>
    <row r="27" spans="3:11" ht="19.5" thickBot="1" x14ac:dyDescent="0.35">
      <c r="C27" s="21"/>
      <c r="D27" s="22"/>
      <c r="E27" s="49"/>
      <c r="F27" s="35"/>
      <c r="G27" s="7"/>
      <c r="H27" s="30"/>
      <c r="I27" s="31"/>
      <c r="J27" s="32"/>
      <c r="K27" s="33"/>
    </row>
    <row r="28" spans="3:11" ht="19.5" thickBot="1" x14ac:dyDescent="0.35">
      <c r="C28" s="30"/>
      <c r="D28" s="31"/>
      <c r="E28" s="48"/>
      <c r="F28" s="33"/>
      <c r="G28" s="7"/>
      <c r="H28" s="21"/>
      <c r="I28" s="22"/>
      <c r="J28" s="34"/>
      <c r="K28" s="35"/>
    </row>
    <row r="29" spans="3:11" ht="19.5" thickBot="1" x14ac:dyDescent="0.35">
      <c r="C29" s="21"/>
      <c r="D29" s="22"/>
      <c r="E29" s="49"/>
      <c r="F29" s="35"/>
      <c r="G29" s="7"/>
      <c r="H29" s="30"/>
      <c r="I29" s="31"/>
      <c r="J29" s="32"/>
      <c r="K29" s="33"/>
    </row>
    <row r="30" spans="3:11" ht="19.5" thickBot="1" x14ac:dyDescent="0.35">
      <c r="C30" s="30"/>
      <c r="D30" s="31"/>
      <c r="E30" s="48"/>
      <c r="F30" s="33"/>
      <c r="G30" s="7"/>
      <c r="H30" s="21"/>
      <c r="I30" s="22"/>
      <c r="J30" s="34"/>
      <c r="K30" s="35"/>
    </row>
    <row r="31" spans="3:11" ht="19.5" thickBot="1" x14ac:dyDescent="0.35">
      <c r="C31" s="21"/>
      <c r="D31" s="22"/>
      <c r="E31" s="49"/>
      <c r="F31" s="35"/>
      <c r="G31" s="7"/>
      <c r="H31" s="30"/>
      <c r="I31" s="31"/>
      <c r="J31" s="32"/>
      <c r="K31" s="33"/>
    </row>
    <row r="32" spans="3:11" ht="19.5" thickBot="1" x14ac:dyDescent="0.35">
      <c r="C32" s="30"/>
      <c r="D32" s="31"/>
      <c r="E32" s="48"/>
      <c r="F32" s="33"/>
      <c r="G32" s="7"/>
      <c r="H32" s="21"/>
      <c r="I32" s="22"/>
      <c r="J32" s="34"/>
      <c r="K32" s="35"/>
    </row>
    <row r="33" spans="3:11" ht="19.5" thickBot="1" x14ac:dyDescent="0.35">
      <c r="C33" s="21"/>
      <c r="D33" s="22"/>
      <c r="E33" s="49"/>
      <c r="F33" s="35"/>
      <c r="G33" s="7"/>
      <c r="H33" s="30"/>
      <c r="I33" s="31"/>
      <c r="J33" s="32"/>
      <c r="K33" s="33"/>
    </row>
    <row r="34" spans="3:11" ht="19.5" thickBot="1" x14ac:dyDescent="0.35">
      <c r="C34" s="30"/>
      <c r="D34" s="31"/>
      <c r="E34" s="48"/>
      <c r="F34" s="33"/>
      <c r="G34" s="7"/>
      <c r="H34" s="21"/>
      <c r="I34" s="22"/>
      <c r="J34" s="34"/>
      <c r="K34" s="35"/>
    </row>
    <row r="35" spans="3:11" ht="19.5" thickBot="1" x14ac:dyDescent="0.35">
      <c r="C35" s="21"/>
      <c r="D35" s="22"/>
      <c r="E35" s="49"/>
      <c r="F35" s="35"/>
      <c r="G35" s="7"/>
      <c r="H35" s="30"/>
      <c r="I35" s="31"/>
      <c r="J35" s="32"/>
      <c r="K35" s="33"/>
    </row>
    <row r="36" spans="3:11" ht="19.5" thickBot="1" x14ac:dyDescent="0.35">
      <c r="C36" s="30"/>
      <c r="D36" s="31"/>
      <c r="E36" s="48"/>
      <c r="F36" s="33"/>
      <c r="G36" s="7"/>
      <c r="H36" s="21"/>
      <c r="I36" s="22"/>
      <c r="J36" s="34"/>
      <c r="K36" s="35"/>
    </row>
    <row r="37" spans="3:11" ht="19.5" thickBot="1" x14ac:dyDescent="0.35">
      <c r="C37" s="21"/>
      <c r="D37" s="22"/>
      <c r="E37" s="49"/>
      <c r="F37" s="35"/>
      <c r="G37" s="7"/>
      <c r="H37" s="30"/>
      <c r="I37" s="31"/>
      <c r="J37" s="32"/>
      <c r="K37" s="33"/>
    </row>
    <row r="38" spans="3:11" ht="19.5" thickBot="1" x14ac:dyDescent="0.35">
      <c r="C38" s="30"/>
      <c r="D38" s="31"/>
      <c r="E38" s="48"/>
      <c r="F38" s="33"/>
      <c r="G38" s="7"/>
      <c r="H38" s="21"/>
      <c r="I38" s="22"/>
      <c r="J38" s="34"/>
      <c r="K38" s="35"/>
    </row>
    <row r="39" spans="3:11" ht="19.5" thickBot="1" x14ac:dyDescent="0.35">
      <c r="C39" s="21"/>
      <c r="D39" s="22"/>
      <c r="E39" s="49"/>
      <c r="F39" s="35"/>
      <c r="G39" s="7"/>
      <c r="H39" s="30"/>
      <c r="I39" s="31"/>
      <c r="J39" s="32"/>
      <c r="K39" s="33"/>
    </row>
    <row r="40" spans="3:11" ht="19.5" thickBot="1" x14ac:dyDescent="0.35">
      <c r="C40" s="30"/>
      <c r="D40" s="31"/>
      <c r="E40" s="48"/>
      <c r="F40" s="33"/>
      <c r="G40" s="7"/>
      <c r="H40" s="21"/>
      <c r="I40" s="22"/>
      <c r="J40" s="34"/>
      <c r="K40" s="35"/>
    </row>
    <row r="41" spans="3:11" ht="19.5" thickBot="1" x14ac:dyDescent="0.35">
      <c r="C41" s="21"/>
      <c r="D41" s="22"/>
      <c r="E41" s="49"/>
      <c r="F41" s="35"/>
      <c r="G41" s="7"/>
      <c r="H41" s="30"/>
      <c r="I41" s="31"/>
      <c r="J41" s="32"/>
      <c r="K41" s="33"/>
    </row>
    <row r="42" spans="3:11" ht="19.5" thickBot="1" x14ac:dyDescent="0.35">
      <c r="C42" s="30"/>
      <c r="D42" s="31"/>
      <c r="E42" s="48"/>
      <c r="F42" s="33"/>
      <c r="G42" s="7"/>
      <c r="H42" s="21"/>
      <c r="I42" s="22"/>
      <c r="J42" s="34"/>
      <c r="K42" s="35"/>
    </row>
    <row r="43" spans="3:11" ht="19.5" thickBot="1" x14ac:dyDescent="0.35">
      <c r="C43" s="21"/>
      <c r="D43" s="22"/>
      <c r="E43" s="49"/>
      <c r="F43" s="35"/>
      <c r="G43" s="7"/>
      <c r="H43" s="30"/>
      <c r="I43" s="31"/>
      <c r="J43" s="32"/>
      <c r="K43" s="33"/>
    </row>
    <row r="44" spans="3:11" ht="19.5" thickBot="1" x14ac:dyDescent="0.35">
      <c r="C44" s="30"/>
      <c r="D44" s="31"/>
      <c r="E44" s="48"/>
      <c r="F44" s="33"/>
      <c r="G44" s="7"/>
      <c r="H44" s="21"/>
      <c r="I44" s="22"/>
      <c r="J44" s="34"/>
      <c r="K44" s="35"/>
    </row>
    <row r="45" spans="3:11" ht="19.5" thickBot="1" x14ac:dyDescent="0.35">
      <c r="C45" s="21"/>
      <c r="D45" s="22"/>
      <c r="E45" s="49"/>
      <c r="F45" s="35"/>
      <c r="G45" s="7"/>
      <c r="H45" s="30"/>
      <c r="I45" s="31"/>
      <c r="J45" s="32"/>
      <c r="K45" s="33"/>
    </row>
    <row r="46" spans="3:11" ht="19.5" thickBot="1" x14ac:dyDescent="0.35">
      <c r="C46" s="30"/>
      <c r="D46" s="31"/>
      <c r="E46" s="48"/>
      <c r="F46" s="33"/>
      <c r="G46" s="7"/>
      <c r="H46" s="21"/>
      <c r="I46" s="22"/>
      <c r="J46" s="34"/>
      <c r="K46" s="35"/>
    </row>
    <row r="47" spans="3:11" ht="19.5" thickBot="1" x14ac:dyDescent="0.35">
      <c r="C47" s="21"/>
      <c r="D47" s="22"/>
      <c r="E47" s="49"/>
      <c r="F47" s="35"/>
      <c r="G47" s="7"/>
      <c r="H47" s="30"/>
      <c r="I47" s="31"/>
      <c r="J47" s="32"/>
      <c r="K47" s="33"/>
    </row>
    <row r="48" spans="3:11" ht="19.5" thickBot="1" x14ac:dyDescent="0.35">
      <c r="C48" s="30"/>
      <c r="D48" s="31"/>
      <c r="E48" s="48"/>
      <c r="F48" s="33"/>
      <c r="G48" s="7"/>
      <c r="H48" s="21"/>
      <c r="I48" s="22"/>
      <c r="J48" s="34"/>
      <c r="K48" s="35"/>
    </row>
    <row r="49" spans="3:11" ht="19.5" thickBot="1" x14ac:dyDescent="0.35">
      <c r="C49" s="21"/>
      <c r="D49" s="22"/>
      <c r="E49" s="49"/>
      <c r="F49" s="35"/>
      <c r="G49" s="7"/>
      <c r="H49" s="30"/>
      <c r="I49" s="31"/>
      <c r="J49" s="32"/>
      <c r="K49" s="33"/>
    </row>
    <row r="50" spans="3:11" ht="19.5" thickBot="1" x14ac:dyDescent="0.35">
      <c r="C50" s="30"/>
      <c r="D50" s="31"/>
      <c r="E50" s="48"/>
      <c r="F50" s="33"/>
      <c r="G50" s="7"/>
      <c r="H50" s="21"/>
      <c r="I50" s="22"/>
      <c r="J50" s="34"/>
      <c r="K50" s="35"/>
    </row>
    <row r="51" spans="3:11" ht="19.5" thickBot="1" x14ac:dyDescent="0.35">
      <c r="C51" s="21"/>
      <c r="D51" s="22"/>
      <c r="E51" s="49"/>
      <c r="F51" s="35"/>
      <c r="G51" s="7"/>
      <c r="H51" s="30"/>
      <c r="I51" s="31"/>
      <c r="J51" s="32"/>
      <c r="K51" s="33"/>
    </row>
    <row r="52" spans="3:11" ht="19.5" thickBot="1" x14ac:dyDescent="0.35">
      <c r="C52" s="30"/>
      <c r="D52" s="31"/>
      <c r="E52" s="48"/>
      <c r="F52" s="33"/>
      <c r="G52" s="7"/>
      <c r="H52" s="21"/>
      <c r="I52" s="22"/>
      <c r="J52" s="34"/>
      <c r="K52" s="35"/>
    </row>
    <row r="53" spans="3:11" ht="19.5" thickBot="1" x14ac:dyDescent="0.35">
      <c r="C53" s="21"/>
      <c r="D53" s="22"/>
      <c r="E53" s="49"/>
      <c r="F53" s="35"/>
      <c r="G53" s="7"/>
      <c r="H53" s="30"/>
      <c r="I53" s="31"/>
      <c r="J53" s="32"/>
      <c r="K53" s="33"/>
    </row>
    <row r="54" spans="3:11" ht="19.5" thickBot="1" x14ac:dyDescent="0.35">
      <c r="C54" s="30"/>
      <c r="D54" s="31"/>
      <c r="E54" s="48"/>
      <c r="F54" s="33"/>
      <c r="G54" s="7"/>
      <c r="H54" s="21"/>
      <c r="I54" s="22"/>
      <c r="J54" s="34"/>
      <c r="K54" s="35"/>
    </row>
    <row r="55" spans="3:11" ht="19.5" thickBot="1" x14ac:dyDescent="0.35">
      <c r="C55" s="21"/>
      <c r="D55" s="22"/>
      <c r="E55" s="49"/>
      <c r="F55" s="35"/>
      <c r="G55" s="7"/>
      <c r="H55" s="30"/>
      <c r="I55" s="31"/>
      <c r="J55" s="32"/>
      <c r="K55" s="33"/>
    </row>
    <row r="56" spans="3:11" ht="19.5" thickBot="1" x14ac:dyDescent="0.35">
      <c r="C56" s="30"/>
      <c r="D56" s="31"/>
      <c r="E56" s="48"/>
      <c r="F56" s="33"/>
      <c r="G56" s="7"/>
      <c r="H56" s="21"/>
      <c r="I56" s="22"/>
      <c r="J56" s="34"/>
      <c r="K56" s="35"/>
    </row>
    <row r="57" spans="3:11" ht="19.5" thickBot="1" x14ac:dyDescent="0.35">
      <c r="C57" s="21"/>
      <c r="D57" s="22"/>
      <c r="E57" s="49"/>
      <c r="F57" s="35"/>
      <c r="G57" s="7"/>
      <c r="H57" s="30"/>
      <c r="I57" s="31"/>
      <c r="J57" s="32"/>
      <c r="K57" s="33"/>
    </row>
    <row r="58" spans="3:11" ht="19.5" thickBot="1" x14ac:dyDescent="0.35">
      <c r="C58" s="30"/>
      <c r="D58" s="31"/>
      <c r="E58" s="48"/>
      <c r="F58" s="33"/>
      <c r="G58" s="7"/>
      <c r="H58" s="21"/>
      <c r="I58" s="22"/>
      <c r="J58" s="34"/>
      <c r="K58" s="35"/>
    </row>
    <row r="59" spans="3:11" ht="19.5" thickBot="1" x14ac:dyDescent="0.35">
      <c r="C59" s="21"/>
      <c r="D59" s="22"/>
      <c r="E59" s="49"/>
      <c r="F59" s="35"/>
      <c r="G59" s="7"/>
      <c r="H59" s="30"/>
      <c r="I59" s="31"/>
      <c r="J59" s="32"/>
      <c r="K59" s="33"/>
    </row>
    <row r="60" spans="3:11" ht="19.5" thickBot="1" x14ac:dyDescent="0.35">
      <c r="C60" s="30"/>
      <c r="D60" s="31"/>
      <c r="E60" s="48"/>
      <c r="F60" s="33"/>
      <c r="G60" s="7"/>
      <c r="H60" s="21"/>
      <c r="I60" s="22"/>
      <c r="J60" s="34"/>
      <c r="K60" s="35"/>
    </row>
    <row r="61" spans="3:11" ht="19.5" thickBot="1" x14ac:dyDescent="0.35">
      <c r="C61" s="21"/>
      <c r="D61" s="22"/>
      <c r="E61" s="49"/>
      <c r="F61" s="35"/>
      <c r="G61" s="7"/>
      <c r="H61" s="30"/>
      <c r="I61" s="31"/>
      <c r="J61" s="32"/>
      <c r="K61" s="33"/>
    </row>
    <row r="62" spans="3:11" ht="19.5" thickBot="1" x14ac:dyDescent="0.35">
      <c r="C62" s="30"/>
      <c r="D62" s="31"/>
      <c r="E62" s="48"/>
      <c r="F62" s="33"/>
      <c r="G62" s="7"/>
      <c r="H62" s="21"/>
      <c r="I62" s="22"/>
      <c r="J62" s="34"/>
      <c r="K62" s="35"/>
    </row>
    <row r="63" spans="3:11" ht="19.5" thickBot="1" x14ac:dyDescent="0.35">
      <c r="C63" s="21"/>
      <c r="D63" s="22"/>
      <c r="E63" s="49"/>
      <c r="F63" s="35"/>
      <c r="G63" s="7"/>
      <c r="H63" s="30"/>
      <c r="I63" s="31"/>
      <c r="J63" s="32"/>
      <c r="K63" s="33"/>
    </row>
    <row r="64" spans="3:11" ht="19.5" thickBot="1" x14ac:dyDescent="0.35">
      <c r="C64" s="30"/>
      <c r="D64" s="31"/>
      <c r="E64" s="48"/>
      <c r="F64" s="33"/>
      <c r="G64" s="7"/>
      <c r="H64" s="21"/>
      <c r="I64" s="22"/>
      <c r="J64" s="34"/>
      <c r="K64" s="35"/>
    </row>
    <row r="65" spans="3:11" ht="19.5" thickBot="1" x14ac:dyDescent="0.35">
      <c r="C65" s="21"/>
      <c r="D65" s="22"/>
      <c r="E65" s="34"/>
      <c r="F65" s="35"/>
      <c r="G65" s="7"/>
      <c r="H65" s="30"/>
      <c r="I65" s="31"/>
      <c r="J65" s="32"/>
      <c r="K65" s="33"/>
    </row>
    <row r="66" spans="3:11" ht="19.5" thickBot="1" x14ac:dyDescent="0.35">
      <c r="C66" s="30"/>
      <c r="D66" s="31"/>
      <c r="E66" s="32"/>
      <c r="F66" s="33"/>
      <c r="G66" s="7"/>
      <c r="H66" s="21"/>
      <c r="I66" s="22"/>
      <c r="J66" s="34"/>
      <c r="K66" s="35"/>
    </row>
    <row r="67" spans="3:11" ht="19.5" thickBot="1" x14ac:dyDescent="0.35">
      <c r="C67" s="21"/>
      <c r="D67" s="22"/>
      <c r="E67" s="34"/>
      <c r="F67" s="35"/>
      <c r="G67" s="7"/>
      <c r="H67" s="30"/>
      <c r="I67" s="31"/>
      <c r="J67" s="32"/>
      <c r="K67" s="33"/>
    </row>
    <row r="68" spans="3:11" ht="19.5" thickBot="1" x14ac:dyDescent="0.35">
      <c r="C68" s="30"/>
      <c r="D68" s="31"/>
      <c r="E68" s="32"/>
      <c r="F68" s="33"/>
      <c r="G68" s="7"/>
      <c r="H68" s="21"/>
      <c r="I68" s="22"/>
      <c r="J68" s="34"/>
      <c r="K68" s="35"/>
    </row>
    <row r="69" spans="3:11" ht="19.5" thickBot="1" x14ac:dyDescent="0.35">
      <c r="C69" s="21"/>
      <c r="D69" s="22"/>
      <c r="E69" s="34"/>
      <c r="F69" s="35"/>
      <c r="G69" s="7"/>
      <c r="H69" s="30"/>
      <c r="I69" s="31"/>
      <c r="J69" s="32"/>
      <c r="K69" s="33"/>
    </row>
    <row r="70" spans="3:11" ht="19.5" thickBot="1" x14ac:dyDescent="0.35">
      <c r="C70" s="30"/>
      <c r="D70" s="31"/>
      <c r="E70" s="32"/>
      <c r="F70" s="33"/>
      <c r="G70" s="7"/>
      <c r="H70" s="21"/>
      <c r="I70" s="22"/>
      <c r="J70" s="34"/>
      <c r="K70" s="35"/>
    </row>
    <row r="71" spans="3:11" ht="19.5" thickBot="1" x14ac:dyDescent="0.35">
      <c r="C71" s="21"/>
      <c r="D71" s="22"/>
      <c r="E71" s="34"/>
      <c r="F71" s="35"/>
      <c r="G71" s="7"/>
      <c r="H71" s="30"/>
      <c r="I71" s="31"/>
      <c r="J71" s="32"/>
      <c r="K71" s="33"/>
    </row>
    <row r="72" spans="3:11" ht="19.5" thickBot="1" x14ac:dyDescent="0.35">
      <c r="C72" s="30"/>
      <c r="D72" s="31"/>
      <c r="E72" s="32"/>
      <c r="F72" s="33"/>
      <c r="G72" s="7"/>
      <c r="H72" s="21"/>
      <c r="I72" s="22"/>
      <c r="J72" s="34"/>
      <c r="K72" s="35"/>
    </row>
    <row r="73" spans="3:11" ht="19.5" thickBot="1" x14ac:dyDescent="0.35">
      <c r="C73" s="21"/>
      <c r="D73" s="22"/>
      <c r="E73" s="34"/>
      <c r="F73" s="35"/>
      <c r="G73" s="8"/>
      <c r="H73" s="30"/>
      <c r="I73" s="31"/>
      <c r="J73" s="32"/>
      <c r="K73" s="33"/>
    </row>
    <row r="74" spans="3:11" ht="19.5" thickBot="1" x14ac:dyDescent="0.35">
      <c r="C74" s="30"/>
      <c r="D74" s="31"/>
      <c r="E74" s="32"/>
      <c r="F74" s="33"/>
      <c r="G74" s="7"/>
      <c r="H74" s="21"/>
      <c r="I74" s="22"/>
      <c r="J74" s="34"/>
      <c r="K74" s="35"/>
    </row>
    <row r="75" spans="3:11" ht="19.5" thickBot="1" x14ac:dyDescent="0.35">
      <c r="C75" s="21"/>
      <c r="D75" s="22"/>
      <c r="E75" s="34"/>
      <c r="F75" s="35"/>
      <c r="G75" s="7"/>
      <c r="H75" s="30"/>
      <c r="I75" s="31"/>
      <c r="J75" s="32"/>
      <c r="K75" s="33"/>
    </row>
  </sheetData>
  <mergeCells count="8">
    <mergeCell ref="M9:R15"/>
    <mergeCell ref="C2:K6"/>
    <mergeCell ref="D7:F7"/>
    <mergeCell ref="I7:K7"/>
    <mergeCell ref="C8:D8"/>
    <mergeCell ref="E8:F8"/>
    <mergeCell ref="H8:I8"/>
    <mergeCell ref="J8:K8"/>
  </mergeCells>
  <pageMargins left="0.27559055118110237" right="0.23622047244094491" top="0.19685039370078741" bottom="0" header="0" footer="0"/>
  <pageSetup paperSize="9" firstPageNumber="0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rgb="FFC00000"/>
    <outlinePr showOutlineSymbols="0"/>
    <pageSetUpPr fitToPage="1"/>
  </sheetPr>
  <dimension ref="B1:T77"/>
  <sheetViews>
    <sheetView showGridLines="0" showRowColHeaders="0" showOutlineSymbols="0" zoomScale="85" zoomScaleNormal="85" workbookViewId="0">
      <selection activeCell="F13" sqref="F13:G13"/>
    </sheetView>
  </sheetViews>
  <sheetFormatPr defaultColWidth="8.7109375" defaultRowHeight="15" x14ac:dyDescent="0.25"/>
  <cols>
    <col min="1" max="1" width="2" customWidth="1"/>
    <col min="2" max="2" width="2.140625" customWidth="1"/>
    <col min="3" max="4" width="9.42578125" customWidth="1"/>
    <col min="5" max="5" width="7.28515625" customWidth="1"/>
    <col min="6" max="6" width="15" customWidth="1"/>
    <col min="7" max="7" width="41" customWidth="1"/>
    <col min="8" max="8" width="1.28515625" customWidth="1"/>
    <col min="9" max="9" width="9.42578125" bestFit="1" customWidth="1"/>
    <col min="10" max="10" width="9.42578125" customWidth="1"/>
    <col min="11" max="11" width="7.28515625" customWidth="1"/>
    <col min="12" max="12" width="55.28515625" customWidth="1"/>
    <col min="13" max="13" width="2.7109375" customWidth="1"/>
  </cols>
  <sheetData>
    <row r="1" spans="2:20" ht="7.5" customHeight="1" thickBot="1" x14ac:dyDescent="0.3">
      <c r="F1" s="99"/>
      <c r="G1" s="99"/>
    </row>
    <row r="2" spans="2:20" ht="15" customHeight="1" x14ac:dyDescent="0.25">
      <c r="B2" s="1"/>
      <c r="C2" s="59" t="s">
        <v>9</v>
      </c>
      <c r="D2" s="100"/>
      <c r="E2" s="100"/>
      <c r="F2" s="100"/>
      <c r="G2" s="100"/>
      <c r="H2" s="100"/>
      <c r="I2" s="100"/>
      <c r="J2" s="100"/>
      <c r="K2" s="100"/>
      <c r="L2" s="101"/>
      <c r="N2" s="90"/>
      <c r="O2" s="91"/>
      <c r="P2" s="91"/>
      <c r="Q2" s="91"/>
      <c r="R2" s="91"/>
      <c r="S2" s="91"/>
      <c r="T2" s="92"/>
    </row>
    <row r="3" spans="2:20" ht="15" customHeight="1" x14ac:dyDescent="0.25">
      <c r="B3" s="1"/>
      <c r="C3" s="102"/>
      <c r="D3" s="103"/>
      <c r="E3" s="103"/>
      <c r="F3" s="103"/>
      <c r="G3" s="103"/>
      <c r="H3" s="103"/>
      <c r="I3" s="103"/>
      <c r="J3" s="103"/>
      <c r="K3" s="103"/>
      <c r="L3" s="104"/>
      <c r="N3" s="93"/>
      <c r="O3" s="94"/>
      <c r="P3" s="94"/>
      <c r="Q3" s="94"/>
      <c r="R3" s="94"/>
      <c r="S3" s="94"/>
      <c r="T3" s="95"/>
    </row>
    <row r="4" spans="2:20" ht="17.25" customHeight="1" x14ac:dyDescent="0.25">
      <c r="B4" s="1"/>
      <c r="C4" s="102"/>
      <c r="D4" s="103"/>
      <c r="E4" s="103"/>
      <c r="F4" s="103"/>
      <c r="G4" s="103"/>
      <c r="H4" s="103"/>
      <c r="I4" s="103"/>
      <c r="J4" s="103"/>
      <c r="K4" s="103"/>
      <c r="L4" s="104"/>
      <c r="N4" s="93"/>
      <c r="O4" s="94"/>
      <c r="P4" s="94"/>
      <c r="Q4" s="94"/>
      <c r="R4" s="94"/>
      <c r="S4" s="94"/>
      <c r="T4" s="95"/>
    </row>
    <row r="5" spans="2:20" ht="17.25" customHeight="1" x14ac:dyDescent="0.25">
      <c r="B5" s="1"/>
      <c r="C5" s="102"/>
      <c r="D5" s="103"/>
      <c r="E5" s="103"/>
      <c r="F5" s="103"/>
      <c r="G5" s="103"/>
      <c r="H5" s="103"/>
      <c r="I5" s="103"/>
      <c r="J5" s="103"/>
      <c r="K5" s="103"/>
      <c r="L5" s="104"/>
      <c r="N5" s="93"/>
      <c r="O5" s="94"/>
      <c r="P5" s="94"/>
      <c r="Q5" s="94"/>
      <c r="R5" s="94"/>
      <c r="S5" s="94"/>
      <c r="T5" s="95"/>
    </row>
    <row r="6" spans="2:20" ht="7.5" customHeight="1" thickBot="1" x14ac:dyDescent="0.3">
      <c r="C6" s="105"/>
      <c r="D6" s="106"/>
      <c r="E6" s="106"/>
      <c r="F6" s="106"/>
      <c r="G6" s="106"/>
      <c r="H6" s="106"/>
      <c r="I6" s="106"/>
      <c r="J6" s="106"/>
      <c r="K6" s="106"/>
      <c r="L6" s="107"/>
      <c r="N6" s="93"/>
      <c r="O6" s="94"/>
      <c r="P6" s="94"/>
      <c r="Q6" s="94"/>
      <c r="R6" s="94"/>
      <c r="S6" s="94"/>
      <c r="T6" s="95"/>
    </row>
    <row r="7" spans="2:20" ht="24.75" customHeight="1" thickBot="1" x14ac:dyDescent="0.3">
      <c r="C7" s="43" t="s">
        <v>8</v>
      </c>
      <c r="D7" s="42"/>
      <c r="E7" s="87"/>
      <c r="F7" s="88"/>
      <c r="G7" s="89"/>
      <c r="H7" s="13"/>
      <c r="I7" s="43" t="s">
        <v>7</v>
      </c>
      <c r="J7" s="42"/>
      <c r="K7" s="87"/>
      <c r="L7" s="110"/>
      <c r="N7" s="96"/>
      <c r="O7" s="97"/>
      <c r="P7" s="97"/>
      <c r="Q7" s="97"/>
      <c r="R7" s="97"/>
      <c r="S7" s="97"/>
      <c r="T7" s="98"/>
    </row>
    <row r="8" spans="2:20" ht="26.25" customHeight="1" thickBot="1" x14ac:dyDescent="0.3">
      <c r="C8" s="41" t="s">
        <v>12</v>
      </c>
      <c r="D8" s="83"/>
      <c r="E8" s="84"/>
      <c r="F8" s="46" t="s">
        <v>5</v>
      </c>
      <c r="G8" s="47"/>
      <c r="H8" s="17"/>
      <c r="I8" s="44" t="s">
        <v>3</v>
      </c>
      <c r="J8" s="45"/>
      <c r="K8" s="42"/>
      <c r="L8" s="18"/>
    </row>
    <row r="9" spans="2:20" ht="14.25" customHeight="1" thickBot="1" x14ac:dyDescent="0.3">
      <c r="B9" s="1"/>
      <c r="C9" s="3" t="s">
        <v>0</v>
      </c>
      <c r="D9" s="6" t="s">
        <v>2</v>
      </c>
      <c r="E9" s="16" t="s">
        <v>6</v>
      </c>
      <c r="F9" s="108" t="s">
        <v>1</v>
      </c>
      <c r="G9" s="109"/>
      <c r="H9" s="7"/>
      <c r="I9" s="14" t="s">
        <v>0</v>
      </c>
      <c r="J9" s="19" t="s">
        <v>2</v>
      </c>
      <c r="K9" s="19" t="s">
        <v>6</v>
      </c>
      <c r="L9" s="12" t="s">
        <v>1</v>
      </c>
      <c r="N9" s="40"/>
    </row>
    <row r="10" spans="2:20" ht="21.75" thickBot="1" x14ac:dyDescent="0.4">
      <c r="C10" s="21"/>
      <c r="D10" s="39"/>
      <c r="E10" s="22"/>
      <c r="F10" s="85"/>
      <c r="G10" s="86"/>
      <c r="H10" s="7"/>
      <c r="I10" s="21"/>
      <c r="J10" s="20"/>
      <c r="K10" s="22"/>
      <c r="L10" s="37"/>
      <c r="N10" s="9"/>
    </row>
    <row r="11" spans="2:20" ht="21.75" thickBot="1" x14ac:dyDescent="0.4">
      <c r="C11" s="21"/>
      <c r="D11" s="39"/>
      <c r="E11" s="22"/>
      <c r="F11" s="85"/>
      <c r="G11" s="86"/>
      <c r="H11" s="7"/>
      <c r="I11" s="21"/>
      <c r="J11" s="20"/>
      <c r="K11" s="22"/>
      <c r="L11" s="37"/>
    </row>
    <row r="12" spans="2:20" ht="21.75" thickBot="1" x14ac:dyDescent="0.4">
      <c r="C12" s="21"/>
      <c r="D12" s="39"/>
      <c r="E12" s="22"/>
      <c r="F12" s="85"/>
      <c r="G12" s="86"/>
      <c r="H12" s="7"/>
      <c r="I12" s="21"/>
      <c r="J12" s="20"/>
      <c r="K12" s="22"/>
      <c r="L12" s="37"/>
    </row>
    <row r="13" spans="2:20" ht="21.75" thickBot="1" x14ac:dyDescent="0.4">
      <c r="C13" s="21"/>
      <c r="D13" s="39"/>
      <c r="E13" s="22"/>
      <c r="F13" s="85"/>
      <c r="G13" s="86"/>
      <c r="H13" s="7"/>
      <c r="I13" s="21"/>
      <c r="J13" s="20"/>
      <c r="K13" s="22"/>
      <c r="L13" s="37"/>
    </row>
    <row r="14" spans="2:20" ht="21.75" thickBot="1" x14ac:dyDescent="0.4">
      <c r="C14" s="21"/>
      <c r="D14" s="39"/>
      <c r="E14" s="22"/>
      <c r="F14" s="85"/>
      <c r="G14" s="86"/>
      <c r="H14" s="7"/>
      <c r="I14" s="21"/>
      <c r="J14" s="20"/>
      <c r="K14" s="22"/>
      <c r="L14" s="37"/>
    </row>
    <row r="15" spans="2:20" ht="21.75" thickBot="1" x14ac:dyDescent="0.4">
      <c r="C15" s="21"/>
      <c r="D15" s="39"/>
      <c r="E15" s="22"/>
      <c r="F15" s="85"/>
      <c r="G15" s="86"/>
      <c r="H15" s="7"/>
      <c r="I15" s="21"/>
      <c r="J15" s="20"/>
      <c r="K15" s="22"/>
      <c r="L15" s="37"/>
    </row>
    <row r="16" spans="2:20" ht="21.75" thickBot="1" x14ac:dyDescent="0.4">
      <c r="C16" s="21"/>
      <c r="D16" s="39"/>
      <c r="E16" s="22"/>
      <c r="F16" s="85"/>
      <c r="G16" s="86"/>
      <c r="H16" s="7"/>
      <c r="I16" s="21"/>
      <c r="J16" s="20"/>
      <c r="K16" s="22"/>
      <c r="L16" s="37"/>
    </row>
    <row r="17" spans="3:12" ht="21.75" thickBot="1" x14ac:dyDescent="0.4">
      <c r="C17" s="21"/>
      <c r="D17" s="39"/>
      <c r="E17" s="22"/>
      <c r="F17" s="85"/>
      <c r="G17" s="86"/>
      <c r="H17" s="7"/>
      <c r="I17" s="21"/>
      <c r="J17" s="20"/>
      <c r="K17" s="22"/>
      <c r="L17" s="37"/>
    </row>
    <row r="18" spans="3:12" ht="21.75" thickBot="1" x14ac:dyDescent="0.4">
      <c r="C18" s="21"/>
      <c r="D18" s="39"/>
      <c r="E18" s="22"/>
      <c r="F18" s="85"/>
      <c r="G18" s="86"/>
      <c r="H18" s="7"/>
      <c r="I18" s="21"/>
      <c r="J18" s="20"/>
      <c r="K18" s="22"/>
      <c r="L18" s="37"/>
    </row>
    <row r="19" spans="3:12" ht="21.75" thickBot="1" x14ac:dyDescent="0.4">
      <c r="C19" s="21"/>
      <c r="D19" s="39"/>
      <c r="E19" s="22"/>
      <c r="F19" s="85"/>
      <c r="G19" s="86"/>
      <c r="H19" s="7"/>
      <c r="I19" s="21"/>
      <c r="J19" s="20"/>
      <c r="K19" s="22"/>
      <c r="L19" s="37"/>
    </row>
    <row r="20" spans="3:12" ht="21.75" thickBot="1" x14ac:dyDescent="0.4">
      <c r="C20" s="21"/>
      <c r="D20" s="39"/>
      <c r="E20" s="22"/>
      <c r="F20" s="85"/>
      <c r="G20" s="86"/>
      <c r="H20" s="7"/>
      <c r="I20" s="21"/>
      <c r="J20" s="20"/>
      <c r="K20" s="22"/>
      <c r="L20" s="37"/>
    </row>
    <row r="21" spans="3:12" ht="21.75" thickBot="1" x14ac:dyDescent="0.4">
      <c r="C21" s="21"/>
      <c r="D21" s="39"/>
      <c r="E21" s="22"/>
      <c r="F21" s="85"/>
      <c r="G21" s="86"/>
      <c r="H21" s="7"/>
      <c r="I21" s="21"/>
      <c r="J21" s="20"/>
      <c r="K21" s="22"/>
      <c r="L21" s="37"/>
    </row>
    <row r="22" spans="3:12" ht="21.75" thickBot="1" x14ac:dyDescent="0.4">
      <c r="C22" s="21"/>
      <c r="D22" s="39"/>
      <c r="E22" s="22"/>
      <c r="F22" s="85"/>
      <c r="G22" s="86"/>
      <c r="H22" s="7"/>
      <c r="I22" s="21"/>
      <c r="J22" s="20"/>
      <c r="K22" s="22"/>
      <c r="L22" s="37"/>
    </row>
    <row r="23" spans="3:12" ht="21.75" thickBot="1" x14ac:dyDescent="0.4">
      <c r="C23" s="21"/>
      <c r="D23" s="39"/>
      <c r="E23" s="22"/>
      <c r="F23" s="85"/>
      <c r="G23" s="86"/>
      <c r="H23" s="7"/>
      <c r="I23" s="21"/>
      <c r="J23" s="20"/>
      <c r="K23" s="22"/>
      <c r="L23" s="37"/>
    </row>
    <row r="24" spans="3:12" ht="21.75" thickBot="1" x14ac:dyDescent="0.4">
      <c r="C24" s="21"/>
      <c r="D24" s="39"/>
      <c r="E24" s="22"/>
      <c r="F24" s="85"/>
      <c r="G24" s="86"/>
      <c r="H24" s="7"/>
      <c r="I24" s="21"/>
      <c r="J24" s="20"/>
      <c r="K24" s="22"/>
      <c r="L24" s="37"/>
    </row>
    <row r="25" spans="3:12" ht="21.75" thickBot="1" x14ac:dyDescent="0.4">
      <c r="C25" s="21"/>
      <c r="D25" s="39"/>
      <c r="E25" s="22"/>
      <c r="F25" s="85"/>
      <c r="G25" s="86"/>
      <c r="H25" s="7"/>
      <c r="I25" s="21"/>
      <c r="J25" s="20"/>
      <c r="K25" s="22"/>
      <c r="L25" s="37"/>
    </row>
    <row r="26" spans="3:12" ht="21.75" thickBot="1" x14ac:dyDescent="0.4">
      <c r="C26" s="21"/>
      <c r="D26" s="39"/>
      <c r="E26" s="22"/>
      <c r="F26" s="85"/>
      <c r="G26" s="86"/>
      <c r="H26" s="7"/>
      <c r="I26" s="21"/>
      <c r="J26" s="20"/>
      <c r="K26" s="22"/>
      <c r="L26" s="37"/>
    </row>
    <row r="27" spans="3:12" ht="21.75" thickBot="1" x14ac:dyDescent="0.4">
      <c r="C27" s="21"/>
      <c r="D27" s="39"/>
      <c r="E27" s="22"/>
      <c r="F27" s="85"/>
      <c r="G27" s="86"/>
      <c r="H27" s="7"/>
      <c r="I27" s="21"/>
      <c r="J27" s="20"/>
      <c r="K27" s="22"/>
      <c r="L27" s="37"/>
    </row>
    <row r="28" spans="3:12" ht="21.75" thickBot="1" x14ac:dyDescent="0.4">
      <c r="C28" s="21"/>
      <c r="D28" s="39"/>
      <c r="E28" s="22"/>
      <c r="F28" s="85"/>
      <c r="G28" s="86"/>
      <c r="H28" s="7"/>
      <c r="I28" s="21"/>
      <c r="J28" s="20"/>
      <c r="K28" s="22"/>
      <c r="L28" s="37"/>
    </row>
    <row r="29" spans="3:12" ht="21.75" thickBot="1" x14ac:dyDescent="0.4">
      <c r="C29" s="21"/>
      <c r="D29" s="39"/>
      <c r="E29" s="22"/>
      <c r="F29" s="85"/>
      <c r="G29" s="86"/>
      <c r="H29" s="7"/>
      <c r="I29" s="21"/>
      <c r="J29" s="20"/>
      <c r="K29" s="22"/>
      <c r="L29" s="37"/>
    </row>
    <row r="30" spans="3:12" ht="21.75" thickBot="1" x14ac:dyDescent="0.4">
      <c r="C30" s="21"/>
      <c r="D30" s="39"/>
      <c r="E30" s="22"/>
      <c r="F30" s="85"/>
      <c r="G30" s="86"/>
      <c r="H30" s="7"/>
      <c r="I30" s="21"/>
      <c r="J30" s="20"/>
      <c r="K30" s="22"/>
      <c r="L30" s="37"/>
    </row>
    <row r="31" spans="3:12" ht="21.75" thickBot="1" x14ac:dyDescent="0.4">
      <c r="C31" s="21"/>
      <c r="D31" s="39"/>
      <c r="E31" s="22"/>
      <c r="F31" s="85"/>
      <c r="G31" s="86"/>
      <c r="H31" s="7"/>
      <c r="I31" s="21"/>
      <c r="J31" s="20"/>
      <c r="K31" s="22"/>
      <c r="L31" s="37"/>
    </row>
    <row r="32" spans="3:12" ht="21.75" thickBot="1" x14ac:dyDescent="0.4">
      <c r="C32" s="21"/>
      <c r="D32" s="39"/>
      <c r="E32" s="22"/>
      <c r="F32" s="85"/>
      <c r="G32" s="86"/>
      <c r="H32" s="7"/>
      <c r="I32" s="21"/>
      <c r="J32" s="20"/>
      <c r="K32" s="22"/>
      <c r="L32" s="37"/>
    </row>
    <row r="33" spans="3:12" ht="21.75" thickBot="1" x14ac:dyDescent="0.4">
      <c r="C33" s="21"/>
      <c r="D33" s="39"/>
      <c r="E33" s="22"/>
      <c r="F33" s="85"/>
      <c r="G33" s="86"/>
      <c r="H33" s="7"/>
      <c r="I33" s="21"/>
      <c r="J33" s="20"/>
      <c r="K33" s="22"/>
      <c r="L33" s="37"/>
    </row>
    <row r="34" spans="3:12" ht="21.75" thickBot="1" x14ac:dyDescent="0.4">
      <c r="C34" s="21"/>
      <c r="D34" s="39"/>
      <c r="E34" s="22"/>
      <c r="F34" s="85"/>
      <c r="G34" s="86"/>
      <c r="H34" s="7"/>
      <c r="I34" s="21"/>
      <c r="J34" s="20"/>
      <c r="K34" s="22"/>
      <c r="L34" s="37"/>
    </row>
    <row r="35" spans="3:12" ht="21.75" thickBot="1" x14ac:dyDescent="0.4">
      <c r="C35" s="21"/>
      <c r="D35" s="39"/>
      <c r="E35" s="22"/>
      <c r="F35" s="85"/>
      <c r="G35" s="86"/>
      <c r="H35" s="7"/>
      <c r="I35" s="21"/>
      <c r="J35" s="20"/>
      <c r="K35" s="22"/>
      <c r="L35" s="37"/>
    </row>
    <row r="36" spans="3:12" ht="21.75" thickBot="1" x14ac:dyDescent="0.4">
      <c r="C36" s="21"/>
      <c r="D36" s="39"/>
      <c r="E36" s="22"/>
      <c r="F36" s="85"/>
      <c r="G36" s="86"/>
      <c r="H36" s="7"/>
      <c r="I36" s="21"/>
      <c r="J36" s="20"/>
      <c r="K36" s="22"/>
      <c r="L36" s="37"/>
    </row>
    <row r="37" spans="3:12" ht="21.75" thickBot="1" x14ac:dyDescent="0.4">
      <c r="C37" s="21"/>
      <c r="D37" s="39"/>
      <c r="E37" s="22"/>
      <c r="F37" s="85"/>
      <c r="G37" s="86"/>
      <c r="H37" s="7"/>
      <c r="I37" s="21"/>
      <c r="J37" s="20"/>
      <c r="K37" s="22"/>
      <c r="L37" s="37"/>
    </row>
    <row r="38" spans="3:12" ht="21.75" thickBot="1" x14ac:dyDescent="0.4">
      <c r="C38" s="21"/>
      <c r="D38" s="39"/>
      <c r="E38" s="22"/>
      <c r="F38" s="85"/>
      <c r="G38" s="86"/>
      <c r="H38" s="7"/>
      <c r="I38" s="21"/>
      <c r="J38" s="20"/>
      <c r="K38" s="22"/>
      <c r="L38" s="37"/>
    </row>
    <row r="39" spans="3:12" ht="21.75" thickBot="1" x14ac:dyDescent="0.4">
      <c r="C39" s="21"/>
      <c r="D39" s="39"/>
      <c r="E39" s="22"/>
      <c r="F39" s="85"/>
      <c r="G39" s="86"/>
      <c r="H39" s="7"/>
      <c r="I39" s="21"/>
      <c r="J39" s="20"/>
      <c r="K39" s="22"/>
      <c r="L39" s="37"/>
    </row>
    <row r="40" spans="3:12" ht="21.75" thickBot="1" x14ac:dyDescent="0.4">
      <c r="C40" s="21"/>
      <c r="D40" s="39"/>
      <c r="E40" s="22"/>
      <c r="F40" s="85"/>
      <c r="G40" s="86"/>
      <c r="H40" s="7"/>
      <c r="I40" s="21"/>
      <c r="J40" s="20"/>
      <c r="K40" s="22"/>
      <c r="L40" s="37"/>
    </row>
    <row r="41" spans="3:12" ht="21.75" thickBot="1" x14ac:dyDescent="0.4">
      <c r="C41" s="21"/>
      <c r="D41" s="39"/>
      <c r="E41" s="22"/>
      <c r="F41" s="85"/>
      <c r="G41" s="86"/>
      <c r="H41" s="7"/>
      <c r="I41" s="21"/>
      <c r="J41" s="20"/>
      <c r="K41" s="22"/>
      <c r="L41" s="37"/>
    </row>
    <row r="42" spans="3:12" ht="21.75" thickBot="1" x14ac:dyDescent="0.4">
      <c r="C42" s="21"/>
      <c r="D42" s="39"/>
      <c r="E42" s="22"/>
      <c r="F42" s="85"/>
      <c r="G42" s="86"/>
      <c r="H42" s="7"/>
      <c r="I42" s="21"/>
      <c r="J42" s="20"/>
      <c r="K42" s="22"/>
      <c r="L42" s="37"/>
    </row>
    <row r="43" spans="3:12" ht="21.75" thickBot="1" x14ac:dyDescent="0.4">
      <c r="C43" s="21"/>
      <c r="D43" s="39"/>
      <c r="E43" s="22"/>
      <c r="F43" s="85"/>
      <c r="G43" s="86"/>
      <c r="H43" s="7"/>
      <c r="I43" s="21"/>
      <c r="J43" s="20"/>
      <c r="K43" s="22"/>
      <c r="L43" s="37"/>
    </row>
    <row r="44" spans="3:12" ht="21.75" thickBot="1" x14ac:dyDescent="0.4">
      <c r="C44" s="21"/>
      <c r="D44" s="39"/>
      <c r="E44" s="22"/>
      <c r="F44" s="85"/>
      <c r="G44" s="86"/>
      <c r="H44" s="7"/>
      <c r="I44" s="21"/>
      <c r="J44" s="20"/>
      <c r="K44" s="22"/>
      <c r="L44" s="37"/>
    </row>
    <row r="45" spans="3:12" ht="21.75" thickBot="1" x14ac:dyDescent="0.4">
      <c r="C45" s="21"/>
      <c r="D45" s="39"/>
      <c r="E45" s="22"/>
      <c r="F45" s="85"/>
      <c r="G45" s="86"/>
      <c r="H45" s="7"/>
      <c r="I45" s="21"/>
      <c r="J45" s="20"/>
      <c r="K45" s="22"/>
      <c r="L45" s="37"/>
    </row>
    <row r="46" spans="3:12" ht="21.75" thickBot="1" x14ac:dyDescent="0.4">
      <c r="C46" s="21"/>
      <c r="D46" s="39"/>
      <c r="E46" s="22"/>
      <c r="F46" s="85"/>
      <c r="G46" s="86"/>
      <c r="H46" s="7"/>
      <c r="I46" s="21"/>
      <c r="J46" s="20"/>
      <c r="K46" s="22"/>
      <c r="L46" s="37"/>
    </row>
    <row r="47" spans="3:12" ht="21.75" thickBot="1" x14ac:dyDescent="0.4">
      <c r="C47" s="21"/>
      <c r="D47" s="39"/>
      <c r="E47" s="22"/>
      <c r="F47" s="85"/>
      <c r="G47" s="86"/>
      <c r="H47" s="7"/>
      <c r="I47" s="21"/>
      <c r="J47" s="20"/>
      <c r="K47" s="22"/>
      <c r="L47" s="37"/>
    </row>
    <row r="48" spans="3:12" ht="21.75" thickBot="1" x14ac:dyDescent="0.4">
      <c r="C48" s="21"/>
      <c r="D48" s="39"/>
      <c r="E48" s="22"/>
      <c r="F48" s="85"/>
      <c r="G48" s="86"/>
      <c r="H48" s="7"/>
      <c r="I48" s="21"/>
      <c r="J48" s="20"/>
      <c r="K48" s="22"/>
      <c r="L48" s="37"/>
    </row>
    <row r="49" spans="3:12" ht="21.75" thickBot="1" x14ac:dyDescent="0.4">
      <c r="C49" s="21"/>
      <c r="D49" s="39"/>
      <c r="E49" s="22"/>
      <c r="F49" s="85"/>
      <c r="G49" s="86"/>
      <c r="H49" s="7"/>
      <c r="I49" s="21"/>
      <c r="J49" s="20"/>
      <c r="K49" s="22"/>
      <c r="L49" s="37"/>
    </row>
    <row r="50" spans="3:12" ht="21.75" thickBot="1" x14ac:dyDescent="0.4">
      <c r="C50" s="21"/>
      <c r="D50" s="39"/>
      <c r="E50" s="22"/>
      <c r="F50" s="85"/>
      <c r="G50" s="86"/>
      <c r="H50" s="7"/>
      <c r="I50" s="21"/>
      <c r="J50" s="20"/>
      <c r="K50" s="22"/>
      <c r="L50" s="37"/>
    </row>
    <row r="51" spans="3:12" ht="21.75" thickBot="1" x14ac:dyDescent="0.4">
      <c r="C51" s="21"/>
      <c r="D51" s="39"/>
      <c r="E51" s="22"/>
      <c r="F51" s="85"/>
      <c r="G51" s="86"/>
      <c r="H51" s="7"/>
      <c r="I51" s="21"/>
      <c r="J51" s="20"/>
      <c r="K51" s="22"/>
      <c r="L51" s="37"/>
    </row>
    <row r="52" spans="3:12" ht="21.75" thickBot="1" x14ac:dyDescent="0.4">
      <c r="C52" s="21"/>
      <c r="D52" s="39"/>
      <c r="E52" s="22"/>
      <c r="F52" s="85"/>
      <c r="G52" s="86"/>
      <c r="H52" s="7"/>
      <c r="I52" s="21"/>
      <c r="J52" s="20"/>
      <c r="K52" s="22"/>
      <c r="L52" s="37"/>
    </row>
    <row r="53" spans="3:12" ht="21.75" thickBot="1" x14ac:dyDescent="0.4">
      <c r="C53" s="21"/>
      <c r="D53" s="39"/>
      <c r="E53" s="22"/>
      <c r="F53" s="85"/>
      <c r="G53" s="86"/>
      <c r="H53" s="7"/>
      <c r="I53" s="21"/>
      <c r="J53" s="20"/>
      <c r="K53" s="22"/>
      <c r="L53" s="37"/>
    </row>
    <row r="54" spans="3:12" ht="21.75" thickBot="1" x14ac:dyDescent="0.4">
      <c r="C54" s="21"/>
      <c r="D54" s="39"/>
      <c r="E54" s="22"/>
      <c r="F54" s="85"/>
      <c r="G54" s="86"/>
      <c r="H54" s="7"/>
      <c r="I54" s="21"/>
      <c r="J54" s="20"/>
      <c r="K54" s="22"/>
      <c r="L54" s="37"/>
    </row>
    <row r="55" spans="3:12" ht="21.75" thickBot="1" x14ac:dyDescent="0.4">
      <c r="C55" s="21"/>
      <c r="D55" s="39"/>
      <c r="E55" s="22"/>
      <c r="F55" s="85"/>
      <c r="G55" s="86"/>
      <c r="H55" s="7"/>
      <c r="I55" s="21"/>
      <c r="J55" s="20"/>
      <c r="K55" s="22"/>
      <c r="L55" s="37"/>
    </row>
    <row r="56" spans="3:12" ht="21.75" thickBot="1" x14ac:dyDescent="0.4">
      <c r="C56" s="21"/>
      <c r="D56" s="39"/>
      <c r="E56" s="22"/>
      <c r="F56" s="85"/>
      <c r="G56" s="86"/>
      <c r="H56" s="7"/>
      <c r="I56" s="21"/>
      <c r="J56" s="20"/>
      <c r="K56" s="22"/>
      <c r="L56" s="37"/>
    </row>
    <row r="57" spans="3:12" ht="21.75" thickBot="1" x14ac:dyDescent="0.4">
      <c r="C57" s="21"/>
      <c r="D57" s="39"/>
      <c r="E57" s="22"/>
      <c r="F57" s="85"/>
      <c r="G57" s="86"/>
      <c r="H57" s="7"/>
      <c r="I57" s="21"/>
      <c r="J57" s="20"/>
      <c r="K57" s="22"/>
      <c r="L57" s="37"/>
    </row>
    <row r="58" spans="3:12" ht="21.75" thickBot="1" x14ac:dyDescent="0.4">
      <c r="C58" s="21"/>
      <c r="D58" s="39"/>
      <c r="E58" s="22"/>
      <c r="F58" s="85"/>
      <c r="G58" s="86"/>
      <c r="H58" s="7"/>
      <c r="I58" s="21"/>
      <c r="J58" s="20"/>
      <c r="K58" s="22"/>
      <c r="L58" s="37"/>
    </row>
    <row r="59" spans="3:12" ht="21.75" thickBot="1" x14ac:dyDescent="0.4">
      <c r="C59" s="21"/>
      <c r="D59" s="39"/>
      <c r="E59" s="22"/>
      <c r="F59" s="85"/>
      <c r="G59" s="86"/>
      <c r="H59" s="7"/>
      <c r="I59" s="21"/>
      <c r="J59" s="20"/>
      <c r="K59" s="22"/>
      <c r="L59" s="37"/>
    </row>
    <row r="60" spans="3:12" ht="21.75" thickBot="1" x14ac:dyDescent="0.4">
      <c r="C60" s="21"/>
      <c r="D60" s="39"/>
      <c r="E60" s="22"/>
      <c r="F60" s="85"/>
      <c r="G60" s="86"/>
      <c r="H60" s="7"/>
      <c r="I60" s="21"/>
      <c r="J60" s="20"/>
      <c r="K60" s="22"/>
      <c r="L60" s="37"/>
    </row>
    <row r="61" spans="3:12" ht="21.75" thickBot="1" x14ac:dyDescent="0.4">
      <c r="C61" s="21"/>
      <c r="D61" s="39"/>
      <c r="E61" s="22"/>
      <c r="F61" s="85"/>
      <c r="G61" s="86"/>
      <c r="H61" s="7"/>
      <c r="I61" s="21"/>
      <c r="J61" s="20"/>
      <c r="K61" s="22"/>
      <c r="L61" s="37"/>
    </row>
    <row r="62" spans="3:12" ht="21.75" thickBot="1" x14ac:dyDescent="0.4">
      <c r="C62" s="21"/>
      <c r="D62" s="39"/>
      <c r="E62" s="22"/>
      <c r="F62" s="85"/>
      <c r="G62" s="86"/>
      <c r="H62" s="7"/>
      <c r="I62" s="21"/>
      <c r="J62" s="20"/>
      <c r="K62" s="22"/>
      <c r="L62" s="37"/>
    </row>
    <row r="63" spans="3:12" ht="21.75" thickBot="1" x14ac:dyDescent="0.4">
      <c r="C63" s="21"/>
      <c r="D63" s="39"/>
      <c r="E63" s="22"/>
      <c r="F63" s="85"/>
      <c r="G63" s="86"/>
      <c r="H63" s="7"/>
      <c r="I63" s="21"/>
      <c r="J63" s="20"/>
      <c r="K63" s="22"/>
      <c r="L63" s="37"/>
    </row>
    <row r="64" spans="3:12" ht="21.75" thickBot="1" x14ac:dyDescent="0.4">
      <c r="C64" s="21"/>
      <c r="D64" s="39"/>
      <c r="E64" s="22"/>
      <c r="F64" s="85"/>
      <c r="G64" s="86"/>
      <c r="H64" s="7"/>
      <c r="I64" s="21"/>
      <c r="J64" s="20"/>
      <c r="K64" s="22"/>
      <c r="L64" s="37"/>
    </row>
    <row r="65" spans="3:12" ht="21.75" thickBot="1" x14ac:dyDescent="0.4">
      <c r="C65" s="21"/>
      <c r="D65" s="39"/>
      <c r="E65" s="22"/>
      <c r="F65" s="80"/>
      <c r="G65" s="81"/>
      <c r="H65" s="7"/>
      <c r="I65" s="21"/>
      <c r="J65" s="20"/>
      <c r="K65" s="22"/>
      <c r="L65" s="37"/>
    </row>
    <row r="66" spans="3:12" ht="21.75" thickBot="1" x14ac:dyDescent="0.4">
      <c r="C66" s="21"/>
      <c r="D66" s="39"/>
      <c r="E66" s="22"/>
      <c r="F66" s="80"/>
      <c r="G66" s="81"/>
      <c r="H66" s="7"/>
      <c r="I66" s="21"/>
      <c r="J66" s="20"/>
      <c r="K66" s="22"/>
      <c r="L66" s="37"/>
    </row>
    <row r="67" spans="3:12" ht="21.75" thickBot="1" x14ac:dyDescent="0.4">
      <c r="C67" s="21"/>
      <c r="D67" s="39"/>
      <c r="E67" s="22"/>
      <c r="F67" s="80"/>
      <c r="G67" s="81"/>
      <c r="H67" s="7"/>
      <c r="I67" s="21"/>
      <c r="J67" s="20"/>
      <c r="K67" s="22"/>
      <c r="L67" s="37"/>
    </row>
    <row r="68" spans="3:12" ht="21.75" thickBot="1" x14ac:dyDescent="0.4">
      <c r="C68" s="21"/>
      <c r="D68" s="39"/>
      <c r="E68" s="22"/>
      <c r="F68" s="80"/>
      <c r="G68" s="81"/>
      <c r="H68" s="7"/>
      <c r="I68" s="21"/>
      <c r="J68" s="20"/>
      <c r="K68" s="22"/>
      <c r="L68" s="37"/>
    </row>
    <row r="69" spans="3:12" ht="21.75" thickBot="1" x14ac:dyDescent="0.4">
      <c r="C69" s="21"/>
      <c r="D69" s="39"/>
      <c r="E69" s="22"/>
      <c r="F69" s="80"/>
      <c r="G69" s="81"/>
      <c r="H69" s="7"/>
      <c r="I69" s="21"/>
      <c r="J69" s="20"/>
      <c r="K69" s="22"/>
      <c r="L69" s="37"/>
    </row>
    <row r="70" spans="3:12" ht="21.75" thickBot="1" x14ac:dyDescent="0.4">
      <c r="C70" s="21"/>
      <c r="D70" s="39"/>
      <c r="E70" s="22"/>
      <c r="F70" s="80"/>
      <c r="G70" s="81"/>
      <c r="H70" s="7"/>
      <c r="I70" s="21"/>
      <c r="J70" s="20"/>
      <c r="K70" s="22"/>
      <c r="L70" s="37"/>
    </row>
    <row r="71" spans="3:12" ht="21.75" thickBot="1" x14ac:dyDescent="0.4">
      <c r="C71" s="21"/>
      <c r="D71" s="39"/>
      <c r="E71" s="22"/>
      <c r="F71" s="80"/>
      <c r="G71" s="81"/>
      <c r="H71" s="7"/>
      <c r="I71" s="21"/>
      <c r="J71" s="20"/>
      <c r="K71" s="22"/>
      <c r="L71" s="37"/>
    </row>
    <row r="72" spans="3:12" ht="21.75" thickBot="1" x14ac:dyDescent="0.4">
      <c r="C72" s="21"/>
      <c r="D72" s="39"/>
      <c r="E72" s="22"/>
      <c r="F72" s="80"/>
      <c r="G72" s="81"/>
      <c r="H72" s="7"/>
      <c r="I72" s="21"/>
      <c r="J72" s="20"/>
      <c r="K72" s="22"/>
      <c r="L72" s="37"/>
    </row>
    <row r="73" spans="3:12" ht="21.75" thickBot="1" x14ac:dyDescent="0.4">
      <c r="C73" s="21"/>
      <c r="D73" s="39"/>
      <c r="E73" s="22"/>
      <c r="F73" s="80"/>
      <c r="G73" s="81"/>
      <c r="H73" s="8"/>
      <c r="I73" s="21"/>
      <c r="J73" s="20"/>
      <c r="K73" s="22"/>
      <c r="L73" s="37"/>
    </row>
    <row r="74" spans="3:12" ht="21.75" thickBot="1" x14ac:dyDescent="0.4">
      <c r="C74" s="21"/>
      <c r="D74" s="39"/>
      <c r="E74" s="22"/>
      <c r="F74" s="80"/>
      <c r="G74" s="81"/>
      <c r="H74" s="7"/>
      <c r="I74" s="21"/>
      <c r="J74" s="20"/>
      <c r="K74" s="22"/>
      <c r="L74" s="37"/>
    </row>
    <row r="75" spans="3:12" ht="21.75" thickBot="1" x14ac:dyDescent="0.4">
      <c r="C75" s="23"/>
      <c r="D75" s="39"/>
      <c r="E75" s="24"/>
      <c r="F75" s="80"/>
      <c r="G75" s="81"/>
      <c r="H75" s="7"/>
      <c r="I75" s="21"/>
      <c r="J75" s="20"/>
      <c r="K75" s="22"/>
      <c r="L75" s="37"/>
    </row>
    <row r="76" spans="3:12" ht="21.75" thickBot="1" x14ac:dyDescent="0.4">
      <c r="C76" s="23"/>
      <c r="D76" s="39"/>
      <c r="E76" s="24"/>
      <c r="F76" s="80"/>
      <c r="G76" s="82"/>
      <c r="H76" s="25"/>
      <c r="I76" s="21"/>
      <c r="J76" s="20"/>
      <c r="K76" s="22"/>
      <c r="L76" s="37"/>
    </row>
    <row r="77" spans="3:12" ht="21.75" thickBot="1" x14ac:dyDescent="0.4">
      <c r="C77" s="21"/>
      <c r="D77" s="39"/>
      <c r="E77" s="22"/>
      <c r="F77" s="80"/>
      <c r="G77" s="82"/>
      <c r="H77" s="25"/>
      <c r="I77" s="21"/>
      <c r="J77" s="20"/>
      <c r="K77" s="22"/>
      <c r="L77" s="37"/>
    </row>
  </sheetData>
  <mergeCells count="75">
    <mergeCell ref="E7:G7"/>
    <mergeCell ref="N2:T7"/>
    <mergeCell ref="F1:G1"/>
    <mergeCell ref="C2:L6"/>
    <mergeCell ref="F9:G9"/>
    <mergeCell ref="K7:L7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60:G60"/>
    <mergeCell ref="F61:G61"/>
    <mergeCell ref="F62:G62"/>
    <mergeCell ref="F63:G63"/>
    <mergeCell ref="F54:G54"/>
    <mergeCell ref="F55:G55"/>
    <mergeCell ref="F56:G56"/>
    <mergeCell ref="F57:G57"/>
    <mergeCell ref="F58:G58"/>
    <mergeCell ref="F74:G74"/>
    <mergeCell ref="F75:G75"/>
    <mergeCell ref="F76:G76"/>
    <mergeCell ref="F77:G77"/>
    <mergeCell ref="D8:E8"/>
    <mergeCell ref="F69:G69"/>
    <mergeCell ref="F70:G70"/>
    <mergeCell ref="F71:G71"/>
    <mergeCell ref="F72:G72"/>
    <mergeCell ref="F73:G73"/>
    <mergeCell ref="F64:G64"/>
    <mergeCell ref="F65:G65"/>
    <mergeCell ref="F66:G66"/>
    <mergeCell ref="F67:G67"/>
    <mergeCell ref="F68:G68"/>
    <mergeCell ref="F59:G59"/>
  </mergeCells>
  <conditionalFormatting sqref="D10:D77">
    <cfRule type="expression" dxfId="2" priority="2">
      <formula>$D10 &lt; 0</formula>
    </cfRule>
  </conditionalFormatting>
  <pageMargins left="0.27559055118110237" right="0.23622047244094491" top="0.19685039370078741" bottom="0" header="0" footer="0"/>
  <pageSetup paperSize="9" scale="67" firstPageNumber="0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B3AF4C-7B55-4487-8F79-EE8707D8C6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FATURAMENTO - PROD</vt:lpstr>
      <vt:lpstr>FATURAMENTO - SECO</vt:lpstr>
      <vt:lpstr>ROMANEIO</vt:lpstr>
      <vt:lpstr>'FATURAMENTO - PROD'!Area_de_impressao</vt:lpstr>
      <vt:lpstr>'FATURAMENTO - SECO'!Area_de_impressao</vt:lpstr>
      <vt:lpstr>ROMANEIO!Area_de_impressao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 Souza</dc:creator>
  <dc:description/>
  <cp:lastModifiedBy>Eskimo</cp:lastModifiedBy>
  <cp:revision>7</cp:revision>
  <cp:lastPrinted>2025-01-06T10:43:07Z</cp:lastPrinted>
  <dcterms:created xsi:type="dcterms:W3CDTF">2019-08-26T21:21:55Z</dcterms:created>
  <dcterms:modified xsi:type="dcterms:W3CDTF">2026-03-09T14:40:41Z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